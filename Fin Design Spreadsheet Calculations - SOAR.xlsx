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pitt-my.sharepoint.com/personal/jub177_pitt_edu/Documents/Job resources/Portfolio/SOAR Projects/Fin Design/"/>
    </mc:Choice>
  </mc:AlternateContent>
  <xr:revisionPtr revIDLastSave="288" documentId="8_{08CAFC1C-650C-47A1-9AFB-B970EAC46C54}" xr6:coauthVersionLast="47" xr6:coauthVersionMax="47" xr10:uidLastSave="{2737F750-327D-4EFA-B36D-EF6C3B6127AB}"/>
  <bookViews>
    <workbookView xWindow="-156" yWindow="324" windowWidth="22848" windowHeight="11208" xr2:uid="{00000000-000D-0000-FFFF-FFFF00000000}"/>
  </bookViews>
  <sheets>
    <sheet name="Input &amp; Result" sheetId="1" r:id="rId1"/>
    <sheet name="Reference" sheetId="3" r:id="rId2"/>
    <sheet name="Calculation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2" l="1"/>
  <c r="B14" i="2"/>
  <c r="C5" i="1"/>
  <c r="D21" i="2"/>
  <c r="D11" i="2" l="1"/>
  <c r="K3" i="2"/>
  <c r="O3" i="1" s="1"/>
  <c r="E20" i="2"/>
  <c r="D13" i="2"/>
  <c r="D4" i="2"/>
  <c r="F5" i="2" s="1"/>
  <c r="D5" i="2"/>
  <c r="C4" i="2"/>
  <c r="C5" i="2"/>
  <c r="C14" i="2"/>
  <c r="C7" i="2"/>
  <c r="C8" i="2"/>
  <c r="C9" i="2"/>
  <c r="C10" i="2"/>
  <c r="C11" i="2"/>
  <c r="C12" i="2"/>
  <c r="C13" i="2"/>
  <c r="F11" i="2"/>
  <c r="D6" i="2"/>
  <c r="D7" i="2"/>
  <c r="D8" i="2"/>
  <c r="D10" i="2"/>
  <c r="D12" i="2" s="1"/>
  <c r="D14" i="2"/>
  <c r="B4" i="2"/>
  <c r="B5" i="2"/>
  <c r="B6" i="2"/>
  <c r="B7" i="2"/>
  <c r="B8" i="2"/>
  <c r="B9" i="2"/>
  <c r="B10" i="2"/>
  <c r="B11" i="2"/>
  <c r="B12" i="2"/>
  <c r="B13" i="2"/>
  <c r="C6" i="2"/>
  <c r="D3" i="2"/>
  <c r="G3" i="2" s="1"/>
  <c r="H3" i="2" s="1"/>
  <c r="C3" i="2"/>
  <c r="B3" i="2"/>
  <c r="F6" i="2" l="1" a="1"/>
  <c r="F6" i="2" s="1"/>
  <c r="G6" i="2" s="1"/>
  <c r="H6" i="2" s="1"/>
  <c r="D9" i="2" s="1"/>
  <c r="F13" i="2"/>
  <c r="G10" i="2"/>
  <c r="H10" i="2" s="1"/>
  <c r="G16" i="2" s="1"/>
  <c r="G11" i="2"/>
  <c r="H11" i="2" s="1"/>
  <c r="J13" i="1"/>
  <c r="J12" i="1" l="1"/>
  <c r="E12" i="2"/>
  <c r="G12" i="2" s="1"/>
  <c r="H12" i="2" s="1"/>
  <c r="J14" i="1" s="1"/>
  <c r="F7" i="2"/>
  <c r="E7" i="2"/>
  <c r="G5" i="2"/>
  <c r="H5" i="2" s="1"/>
  <c r="J7" i="1" s="1"/>
  <c r="G4" i="2"/>
  <c r="H4" i="2" s="1"/>
  <c r="J5" i="1"/>
  <c r="J8" i="1"/>
  <c r="G7" i="2" l="1"/>
  <c r="H7" i="2" s="1"/>
  <c r="G8" i="2" s="1"/>
  <c r="J6" i="1"/>
  <c r="J9" i="1" l="1"/>
  <c r="H8" i="2"/>
  <c r="G9" i="2" s="1"/>
  <c r="H9" i="2" l="1"/>
  <c r="E13" i="2" s="1"/>
  <c r="G14" i="2" s="1"/>
  <c r="G13" i="2" s="1"/>
  <c r="J10" i="1"/>
  <c r="H13" i="2" l="1"/>
  <c r="J4" i="1" s="1"/>
  <c r="K4" i="2" s="1"/>
  <c r="J11" i="1"/>
  <c r="O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<sst xmlns="http://schemas.openxmlformats.org/spreadsheetml/2006/main" count="77" uniqueCount="73">
  <si>
    <t>Lower Bound</t>
  </si>
  <si>
    <t>Upper Bound</t>
  </si>
  <si>
    <t>Result</t>
  </si>
  <si>
    <t>Calculation Result</t>
  </si>
  <si>
    <t>Upper and Lower Bound Calc</t>
  </si>
  <si>
    <t>Input Regions</t>
  </si>
  <si>
    <t>Output Regions</t>
  </si>
  <si>
    <t>Term</t>
  </si>
  <si>
    <t xml:space="preserve">Equation # </t>
  </si>
  <si>
    <t>EXAMPLE--&gt;</t>
  </si>
  <si>
    <t>N/A</t>
  </si>
  <si>
    <t>Equation # (see 'Reference')</t>
  </si>
  <si>
    <t>Input</t>
  </si>
  <si>
    <t>Value</t>
  </si>
  <si>
    <t>Equation #2</t>
  </si>
  <si>
    <t>Equation #2.1</t>
  </si>
  <si>
    <t>Equation #2.2</t>
  </si>
  <si>
    <t>Equation #2.3</t>
  </si>
  <si>
    <t>Equation #2.5</t>
  </si>
  <si>
    <t>Equation #2.6</t>
  </si>
  <si>
    <t>Equation #2.7</t>
  </si>
  <si>
    <t>Equation #2.8 (Elliptical):</t>
  </si>
  <si>
    <t>Equation #2.9</t>
  </si>
  <si>
    <t>Equation #2.8 (Trapezoidal):</t>
  </si>
  <si>
    <t>altitude (meters)</t>
  </si>
  <si>
    <t>m (sweep length)</t>
  </si>
  <si>
    <t>RC (Root chord length)</t>
  </si>
  <si>
    <t>k  (ratio of specific heats)</t>
  </si>
  <si>
    <t>Height</t>
  </si>
  <si>
    <t xml:space="preserve">Tip chord length </t>
  </si>
  <si>
    <t>2.8 (trapezoidal only)</t>
  </si>
  <si>
    <t>2.5, 2.6, 2.8, 2</t>
  </si>
  <si>
    <t>t (fin thickness)</t>
  </si>
  <si>
    <t>ellip or trap&gt;</t>
  </si>
  <si>
    <t>Vf</t>
  </si>
  <si>
    <t>(celsius) TC =</t>
  </si>
  <si>
    <t>(pressure at altitude) p =</t>
  </si>
  <si>
    <t>(meters/sec) a =</t>
  </si>
  <si>
    <t>(axial distance: front-centroid) Cx =</t>
  </si>
  <si>
    <t>ɛ</t>
  </si>
  <si>
    <t>ɛ =</t>
  </si>
  <si>
    <t>(denominator constant) DN =</t>
  </si>
  <si>
    <t>(pseudo tip-chord length) bc =</t>
  </si>
  <si>
    <t>a</t>
  </si>
  <si>
    <r>
      <t>T</t>
    </r>
    <r>
      <rPr>
        <sz val="9"/>
        <color theme="1"/>
        <rFont val="Calibri"/>
        <family val="2"/>
        <scheme val="minor"/>
      </rPr>
      <t>C</t>
    </r>
  </si>
  <si>
    <t>p</t>
  </si>
  <si>
    <t>Trapezoidal Area =</t>
  </si>
  <si>
    <t>Elliptical Area =</t>
  </si>
  <si>
    <t>Cx</t>
  </si>
  <si>
    <t>DN</t>
  </si>
  <si>
    <t>Area (trap)</t>
  </si>
  <si>
    <t>Area (ellip)</t>
  </si>
  <si>
    <t>bc</t>
  </si>
  <si>
    <t>GE (shear modulus)</t>
  </si>
  <si>
    <t>launch altitude (meters)</t>
  </si>
  <si>
    <t>p0</t>
  </si>
  <si>
    <t>Area</t>
  </si>
  <si>
    <r>
      <t>(pressure at launch) p</t>
    </r>
    <r>
      <rPr>
        <sz val="8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=</t>
    </r>
  </si>
  <si>
    <t>Value in inches</t>
  </si>
  <si>
    <t>Value in centinmeters</t>
  </si>
  <si>
    <t>(fin flutter speed -- m/s) Vf =</t>
  </si>
  <si>
    <t>Example of fin dimmensions:</t>
  </si>
  <si>
    <t>EQUATION REFERENCE</t>
  </si>
  <si>
    <t>Ellitpical or Trapezoidal Fin (check/no check)</t>
  </si>
  <si>
    <t>launch temperature (celsius)*</t>
  </si>
  <si>
    <t>Po (launch air pressure)*</t>
  </si>
  <si>
    <t xml:space="preserve"> A (aspect ratio)*</t>
  </si>
  <si>
    <t>Inches to centimeters conversion</t>
  </si>
  <si>
    <t>^Manual area input for atypical fins</t>
  </si>
  <si>
    <t>*indicated fields can be left blank, and calcuator will estimate a value</t>
  </si>
  <si>
    <t>Calculation Cells</t>
  </si>
  <si>
    <t>Value used by calculator--&gt;</t>
  </si>
  <si>
    <t>&lt;-- Calculated area based on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</si>
</sst>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Aptos Narrow"/>
      <family val="2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6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medium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4" borderId="0" xfId="0" applyFill="1"/>
    <xf numFmtId="0" fontId="2" fillId="4" borderId="0" xfId="0" applyFont="1" applyFill="1"/>
    <xf numFmtId="0" fontId="0" fillId="0" borderId="9" xfId="0" applyBorder="1" applyAlignment="1">
      <alignment horizontal="right"/>
    </xf>
    <xf numFmtId="0" fontId="0" fillId="3" borderId="11" xfId="0" applyFill="1" applyBorder="1" applyAlignment="1">
      <alignment horizontal="center"/>
    </xf>
    <xf numFmtId="0" fontId="4" fillId="0" borderId="9" xfId="0" applyFont="1" applyBorder="1" applyAlignment="1">
      <alignment horizontal="right"/>
    </xf>
    <xf numFmtId="0" fontId="0" fillId="0" borderId="0" xfId="0" applyAlignment="1">
      <alignment horizontal="left"/>
    </xf>
    <xf numFmtId="0" fontId="0" fillId="0" borderId="10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6" xfId="0" applyBorder="1" applyAlignment="1">
      <alignment horizontal="right"/>
    </xf>
    <xf numFmtId="0" fontId="0" fillId="2" borderId="19" xfId="0" applyFill="1" applyBorder="1"/>
    <xf numFmtId="0" fontId="0" fillId="0" borderId="12" xfId="0" applyBorder="1" applyAlignment="1">
      <alignment horizontal="right"/>
    </xf>
    <xf numFmtId="0" fontId="0" fillId="0" borderId="20" xfId="0" applyBorder="1" applyAlignment="1">
      <alignment horizontal="right"/>
    </xf>
    <xf numFmtId="0" fontId="0" fillId="3" borderId="24" xfId="0" applyFill="1" applyBorder="1"/>
    <xf numFmtId="0" fontId="0" fillId="3" borderId="25" xfId="0" applyFill="1" applyBorder="1"/>
    <xf numFmtId="0" fontId="0" fillId="0" borderId="9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 vertical="center"/>
    </xf>
    <xf numFmtId="0" fontId="0" fillId="2" borderId="24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right"/>
    </xf>
    <xf numFmtId="0" fontId="0" fillId="0" borderId="9" xfId="0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9" xfId="0" applyBorder="1" applyAlignment="1">
      <alignment horizontal="right"/>
    </xf>
    <xf numFmtId="0" fontId="0" fillId="3" borderId="29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1" xfId="0" applyBorder="1"/>
    <xf numFmtId="0" fontId="0" fillId="0" borderId="39" xfId="0" applyBorder="1"/>
    <xf numFmtId="0" fontId="0" fillId="0" borderId="7" xfId="0" applyBorder="1"/>
    <xf numFmtId="0" fontId="0" fillId="0" borderId="31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3" borderId="41" xfId="0" applyFill="1" applyBorder="1"/>
    <xf numFmtId="0" fontId="0" fillId="3" borderId="42" xfId="0" applyFill="1" applyBorder="1"/>
    <xf numFmtId="0" fontId="0" fillId="0" borderId="37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18" xfId="0" applyBorder="1"/>
    <xf numFmtId="0" fontId="0" fillId="0" borderId="44" xfId="0" applyBorder="1"/>
    <xf numFmtId="0" fontId="0" fillId="0" borderId="19" xfId="0" applyBorder="1"/>
    <xf numFmtId="0" fontId="0" fillId="3" borderId="45" xfId="0" applyFill="1" applyBorder="1"/>
    <xf numFmtId="0" fontId="2" fillId="4" borderId="0" xfId="0" applyFont="1" applyFill="1" applyAlignment="1">
      <alignment horizontal="center" vertical="center" wrapText="1"/>
    </xf>
    <xf numFmtId="0" fontId="3" fillId="0" borderId="11" xfId="0" applyFont="1" applyBorder="1" applyAlignment="1">
      <alignment horizontal="center"/>
    </xf>
    <xf numFmtId="0" fontId="0" fillId="0" borderId="23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right"/>
    </xf>
    <xf numFmtId="0" fontId="0" fillId="2" borderId="26" xfId="0" applyFill="1" applyBorder="1"/>
    <xf numFmtId="0" fontId="0" fillId="2" borderId="8" xfId="0" applyFill="1" applyBorder="1"/>
    <xf numFmtId="0" fontId="0" fillId="3" borderId="29" xfId="0" applyFill="1" applyBorder="1"/>
    <xf numFmtId="0" fontId="5" fillId="4" borderId="0" xfId="0" applyFont="1" applyFill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</cellXfs>
  <cellStyles count="1">
    <cellStyle name="Normal" xfId="0" builtinId="0"/>
  </cellStyles>
  <dxfs count="4">
    <dxf>
      <fill>
        <patternFill>
          <bgColor rgb="FF00B050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60960</xdr:colOff>
      <xdr:row>4</xdr:row>
      <xdr:rowOff>49392</xdr:rowOff>
    </xdr:from>
    <xdr:to>
      <xdr:col>15</xdr:col>
      <xdr:colOff>533400</xdr:colOff>
      <xdr:row>7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218CF3-8DBB-1D61-561F-D557C7DA15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437"/>
        <a:stretch>
          <a:fillRect/>
        </a:stretch>
      </xdr:blipFill>
      <xdr:spPr>
        <a:xfrm>
          <a:off x="6972300" y="590412"/>
          <a:ext cx="4130040" cy="102502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9</xdr:col>
      <xdr:colOff>53340</xdr:colOff>
      <xdr:row>17</xdr:row>
      <xdr:rowOff>34195</xdr:rowOff>
    </xdr:from>
    <xdr:to>
      <xdr:col>14</xdr:col>
      <xdr:colOff>15240</xdr:colOff>
      <xdr:row>19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C3917-471B-D005-A89F-7F3DF96111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678" b="44722"/>
        <a:stretch>
          <a:fillRect/>
        </a:stretch>
      </xdr:blipFill>
      <xdr:spPr>
        <a:xfrm>
          <a:off x="6964680" y="2975515"/>
          <a:ext cx="3009900" cy="483966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9</xdr:col>
      <xdr:colOff>30480</xdr:colOff>
      <xdr:row>12</xdr:row>
      <xdr:rowOff>90583</xdr:rowOff>
    </xdr:from>
    <xdr:to>
      <xdr:col>13</xdr:col>
      <xdr:colOff>541020</xdr:colOff>
      <xdr:row>14</xdr:row>
      <xdr:rowOff>137161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9870572-BABC-DF04-7169-DEFA9D9A1A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41890"/>
        <a:stretch>
          <a:fillRect/>
        </a:stretch>
      </xdr:blipFill>
      <xdr:spPr>
        <a:xfrm>
          <a:off x="6941820" y="2102263"/>
          <a:ext cx="2948940" cy="41233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15</xdr:col>
      <xdr:colOff>76200</xdr:colOff>
      <xdr:row>30</xdr:row>
      <xdr:rowOff>91440</xdr:rowOff>
    </xdr:from>
    <xdr:to>
      <xdr:col>21</xdr:col>
      <xdr:colOff>203428</xdr:colOff>
      <xdr:row>33</xdr:row>
      <xdr:rowOff>106680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3682F3C-FEA3-5E01-9978-6DFC52FB2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645140" y="5425440"/>
          <a:ext cx="3784828" cy="56388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9</xdr:col>
      <xdr:colOff>38100</xdr:colOff>
      <xdr:row>22</xdr:row>
      <xdr:rowOff>121920</xdr:rowOff>
    </xdr:from>
    <xdr:to>
      <xdr:col>13</xdr:col>
      <xdr:colOff>525780</xdr:colOff>
      <xdr:row>25</xdr:row>
      <xdr:rowOff>91440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DEB1E35-F5FB-06CC-F8B1-46B84CEC39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3640" t="52068" r="3163" b="7311"/>
        <a:stretch>
          <a:fillRect/>
        </a:stretch>
      </xdr:blipFill>
      <xdr:spPr>
        <a:xfrm>
          <a:off x="6949440" y="4541520"/>
          <a:ext cx="2926080" cy="51816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17</xdr:col>
      <xdr:colOff>601980</xdr:colOff>
      <xdr:row>18</xdr:row>
      <xdr:rowOff>144780</xdr:rowOff>
    </xdr:from>
    <xdr:to>
      <xdr:col>21</xdr:col>
      <xdr:colOff>236400</xdr:colOff>
      <xdr:row>22</xdr:row>
      <xdr:rowOff>30533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A69A7DA-63FC-2816-139D-D46BC515F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390120" y="3268980"/>
          <a:ext cx="2072820" cy="617273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14</xdr:col>
      <xdr:colOff>548640</xdr:colOff>
      <xdr:row>12</xdr:row>
      <xdr:rowOff>129540</xdr:rowOff>
    </xdr:from>
    <xdr:to>
      <xdr:col>20</xdr:col>
      <xdr:colOff>343199</xdr:colOff>
      <xdr:row>15</xdr:row>
      <xdr:rowOff>129588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EC8AFDE-BBF0-AF8E-CF9F-3904DD916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269980" y="2476500"/>
          <a:ext cx="3452159" cy="54868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15</xdr:col>
      <xdr:colOff>7620</xdr:colOff>
      <xdr:row>18</xdr:row>
      <xdr:rowOff>68580</xdr:rowOff>
    </xdr:from>
    <xdr:to>
      <xdr:col>17</xdr:col>
      <xdr:colOff>327793</xdr:colOff>
      <xdr:row>21</xdr:row>
      <xdr:rowOff>91490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BE4D2C3-074C-A5E3-9750-33393F1A0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795760" y="1706880"/>
          <a:ext cx="1539373" cy="57155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9</xdr:col>
      <xdr:colOff>38100</xdr:colOff>
      <xdr:row>28</xdr:row>
      <xdr:rowOff>76200</xdr:rowOff>
    </xdr:from>
    <xdr:to>
      <xdr:col>14</xdr:col>
      <xdr:colOff>343191</xdr:colOff>
      <xdr:row>31</xdr:row>
      <xdr:rowOff>99110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E15EE76-EE73-7DDB-5849-D2C50E5B0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11440" y="5349240"/>
          <a:ext cx="3353091" cy="57155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15</xdr:col>
      <xdr:colOff>30480</xdr:colOff>
      <xdr:row>24</xdr:row>
      <xdr:rowOff>137160</xdr:rowOff>
    </xdr:from>
    <xdr:to>
      <xdr:col>19</xdr:col>
      <xdr:colOff>167899</xdr:colOff>
      <xdr:row>27</xdr:row>
      <xdr:rowOff>167721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D5D8756-9CEA-7B2F-2598-1F7F03FD3D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3774" t="38208"/>
        <a:stretch>
          <a:fillRect/>
        </a:stretch>
      </xdr:blipFill>
      <xdr:spPr>
        <a:xfrm>
          <a:off x="11361420" y="4678680"/>
          <a:ext cx="2575819" cy="57920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oneCellAnchor>
    <xdr:from>
      <xdr:col>2</xdr:col>
      <xdr:colOff>47625</xdr:colOff>
      <xdr:row>3</xdr:row>
      <xdr:rowOff>161925</xdr:rowOff>
    </xdr:from>
    <xdr:ext cx="2724149" cy="1582782"/>
    <xdr:pic>
      <xdr:nvPicPr>
        <xdr:cNvPr id="18" name="Picture 17">
          <a:extLst>
            <a:ext uri="{FF2B5EF4-FFF2-40B4-BE49-F238E27FC236}">
              <a16:creationId xmlns:a16="http://schemas.microsoft.com/office/drawing/2014/main" id="{BD4D51A2-4B19-48C7-A0B6-264045C17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515225" y="4314825"/>
          <a:ext cx="2724149" cy="1582782"/>
        </a:xfrm>
        <a:prstGeom prst="rect">
          <a:avLst/>
        </a:prstGeom>
      </xdr:spPr>
    </xdr:pic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492"/>
  <sheetViews>
    <sheetView tabSelected="1" zoomScale="74" zoomScaleNormal="80" workbookViewId="0">
      <selection activeCell="C9" sqref="C9"/>
    </sheetView>
  </sheetViews>
  <sheetFormatPr defaultRowHeight="14.4" x14ac:dyDescent="0.3"/>
  <cols>
    <col min="1" max="1" width="5.88671875" customWidth="1"/>
    <col min="2" max="2" width="30.6640625" customWidth="1"/>
    <col min="3" max="3" width="21.88671875" customWidth="1"/>
    <col min="4" max="4" width="26.109375" customWidth="1"/>
    <col min="5" max="5" width="3.44140625" customWidth="1"/>
    <col min="6" max="6" width="39.44140625" customWidth="1"/>
    <col min="7" max="7" width="5.44140625" customWidth="1"/>
    <col min="8" max="8" width="12.109375" customWidth="1"/>
    <col min="9" max="9" width="38.109375" style="1" customWidth="1"/>
    <col min="10" max="10" width="20.21875" style="1" customWidth="1"/>
    <col min="11" max="11" width="4.77734375" style="3" customWidth="1"/>
    <col min="12" max="12" width="14.21875" style="2" customWidth="1"/>
    <col min="13" max="13" width="14.44140625" customWidth="1"/>
    <col min="14" max="14" width="3.33203125" style="2" customWidth="1"/>
    <col min="15" max="15" width="16.109375" customWidth="1"/>
  </cols>
  <sheetData>
    <row r="1" spans="2:16" ht="15" thickBot="1" x14ac:dyDescent="0.35">
      <c r="I1"/>
      <c r="J1"/>
      <c r="K1" s="1"/>
      <c r="L1"/>
      <c r="N1"/>
    </row>
    <row r="2" spans="2:16" ht="15" thickBot="1" x14ac:dyDescent="0.35">
      <c r="C2" s="56" t="s">
        <v>5</v>
      </c>
      <c r="D2" s="57" t="s">
        <v>6</v>
      </c>
      <c r="G2" s="27"/>
      <c r="H2" s="29" t="s">
        <v>8</v>
      </c>
      <c r="I2" s="29" t="s">
        <v>7</v>
      </c>
      <c r="J2" s="29" t="s">
        <v>3</v>
      </c>
      <c r="K2" s="27"/>
      <c r="L2" s="29" t="s">
        <v>0</v>
      </c>
      <c r="M2" s="29" t="s">
        <v>1</v>
      </c>
      <c r="N2" s="27"/>
      <c r="O2" s="29" t="s">
        <v>2</v>
      </c>
    </row>
    <row r="3" spans="2:16" ht="14.4" customHeight="1" thickBot="1" x14ac:dyDescent="0.35">
      <c r="H3" s="37" t="s">
        <v>10</v>
      </c>
      <c r="I3" s="38" t="s">
        <v>9</v>
      </c>
      <c r="J3" s="11">
        <v>2</v>
      </c>
      <c r="K3" s="1"/>
      <c r="L3" s="33">
        <v>0</v>
      </c>
      <c r="M3" s="30">
        <v>5</v>
      </c>
      <c r="N3"/>
      <c r="O3" s="7" t="str">
        <f>IF(Calculations!K3=TRUE,"Within Bounds","Out of Bounds")</f>
        <v>Within Bounds</v>
      </c>
    </row>
    <row r="4" spans="2:16" ht="33.6" customHeight="1" thickBot="1" x14ac:dyDescent="0.35">
      <c r="B4" s="29" t="s">
        <v>7</v>
      </c>
      <c r="C4" s="29" t="s">
        <v>12</v>
      </c>
      <c r="D4" s="29" t="s">
        <v>11</v>
      </c>
      <c r="E4" s="27"/>
      <c r="F4" s="55" t="s">
        <v>69</v>
      </c>
      <c r="H4" s="39">
        <v>2</v>
      </c>
      <c r="I4" s="26" t="s">
        <v>60</v>
      </c>
      <c r="J4" s="40">
        <f>IF((AND(C16&gt;0,C15&gt;0)),Calculations!H13,"Missing Inputs")</f>
        <v>300.13324727585058</v>
      </c>
      <c r="K4" s="1"/>
      <c r="L4" s="34">
        <v>487.5</v>
      </c>
      <c r="M4" s="35">
        <v>616.5</v>
      </c>
      <c r="N4" s="28"/>
      <c r="O4" s="36" t="str">
        <f>IF(Calculations!K4=TRUE,"Within Bounds","Out of Bounds")</f>
        <v>Out of Bounds</v>
      </c>
    </row>
    <row r="5" spans="2:16" x14ac:dyDescent="0.3">
      <c r="B5" s="46" t="s">
        <v>24</v>
      </c>
      <c r="C5" s="47">
        <f>1066.8+C6</f>
        <v>1941.8</v>
      </c>
      <c r="D5" s="48">
        <v>2.1</v>
      </c>
      <c r="E5" s="1"/>
      <c r="F5" s="1"/>
      <c r="H5" s="41">
        <v>2.1</v>
      </c>
      <c r="I5" s="10" t="s">
        <v>35</v>
      </c>
      <c r="J5" s="42">
        <f>IF(C5&gt;10,Calculations!H3,"Missing Inputs")</f>
        <v>2.3783000000000012</v>
      </c>
      <c r="K5" s="1"/>
      <c r="L5" s="1"/>
      <c r="M5" s="1"/>
      <c r="N5" s="1"/>
      <c r="O5" s="1"/>
      <c r="P5" s="1"/>
    </row>
    <row r="6" spans="2:16" x14ac:dyDescent="0.3">
      <c r="B6" s="49" t="s">
        <v>54</v>
      </c>
      <c r="C6" s="4">
        <v>875</v>
      </c>
      <c r="D6" s="50">
        <v>2.2999999999999998</v>
      </c>
      <c r="E6" s="1"/>
      <c r="H6" s="41">
        <v>2.2000000000000002</v>
      </c>
      <c r="I6" s="10" t="s">
        <v>37</v>
      </c>
      <c r="J6" s="42">
        <f>IF(C5&gt;10,Calculations!H4,"Missing Inputs")</f>
        <v>332.8168947721104</v>
      </c>
      <c r="K6" s="1"/>
      <c r="L6" s="1"/>
      <c r="M6" s="1"/>
      <c r="N6" s="1"/>
      <c r="O6" s="1"/>
      <c r="P6" s="1"/>
    </row>
    <row r="7" spans="2:16" x14ac:dyDescent="0.3">
      <c r="B7" s="51" t="s">
        <v>64</v>
      </c>
      <c r="C7" s="4"/>
      <c r="D7" s="50">
        <v>2.2999999999999998</v>
      </c>
      <c r="E7" s="1"/>
      <c r="F7" s="1"/>
      <c r="H7" s="41">
        <v>2.2999999999999998</v>
      </c>
      <c r="I7" s="10" t="s">
        <v>36</v>
      </c>
      <c r="J7" s="42">
        <f>IF(C5&gt;10,Calculations!H5,"Missing Inputs")</f>
        <v>80.07157432575579</v>
      </c>
      <c r="K7" s="1"/>
      <c r="L7" s="1"/>
      <c r="M7" s="1"/>
      <c r="N7" s="1"/>
      <c r="O7" s="1"/>
      <c r="P7" s="1"/>
    </row>
    <row r="8" spans="2:16" x14ac:dyDescent="0.3">
      <c r="B8" s="51" t="s">
        <v>25</v>
      </c>
      <c r="C8" s="4">
        <v>15</v>
      </c>
      <c r="D8" s="50">
        <v>2.5</v>
      </c>
      <c r="E8" s="1"/>
      <c r="F8" s="1"/>
      <c r="H8" s="41">
        <v>2.4</v>
      </c>
      <c r="I8" s="10" t="s">
        <v>57</v>
      </c>
      <c r="J8" s="42">
        <f>IF(C9&gt;0,Calculations!H6,"Missing Inputs")</f>
        <v>91.245756811986013</v>
      </c>
      <c r="K8" s="13"/>
      <c r="L8" s="1"/>
      <c r="M8" s="1"/>
      <c r="N8" s="1"/>
      <c r="O8" s="1"/>
      <c r="P8" s="1"/>
    </row>
    <row r="9" spans="2:16" x14ac:dyDescent="0.3">
      <c r="B9" s="51" t="s">
        <v>26</v>
      </c>
      <c r="C9" s="4">
        <v>46.037500000000001</v>
      </c>
      <c r="D9" s="50" t="s">
        <v>31</v>
      </c>
      <c r="E9" s="1"/>
      <c r="F9" s="1"/>
      <c r="H9" s="41">
        <v>2.5</v>
      </c>
      <c r="I9" s="10" t="s">
        <v>38</v>
      </c>
      <c r="J9" s="42">
        <f>IF(C9&gt;0,Calculations!H7,"Missing Inputs")</f>
        <v>20.630387899473586</v>
      </c>
      <c r="K9"/>
      <c r="L9" s="1"/>
      <c r="M9" s="1"/>
      <c r="N9" s="1"/>
      <c r="O9" s="1"/>
      <c r="P9" s="1"/>
    </row>
    <row r="10" spans="2:16" x14ac:dyDescent="0.3">
      <c r="B10" s="51" t="s">
        <v>27</v>
      </c>
      <c r="C10" s="4">
        <v>1.4</v>
      </c>
      <c r="D10" s="50">
        <v>2.7</v>
      </c>
      <c r="E10" s="1"/>
      <c r="F10" s="1"/>
      <c r="H10" s="41">
        <v>2.6</v>
      </c>
      <c r="I10" s="12" t="s">
        <v>40</v>
      </c>
      <c r="J10" s="42">
        <f>IF(C9&gt;0,Calculations!H8,"Missing Inputs")</f>
        <v>0.19812137712676808</v>
      </c>
      <c r="K10"/>
      <c r="L10" s="1"/>
      <c r="M10" s="1"/>
      <c r="N10" s="1"/>
      <c r="O10" s="1"/>
      <c r="P10" s="1"/>
    </row>
    <row r="11" spans="2:16" ht="15" thickBot="1" x14ac:dyDescent="0.35">
      <c r="B11" s="51" t="s">
        <v>65</v>
      </c>
      <c r="C11" s="4"/>
      <c r="D11" s="50">
        <v>2.7</v>
      </c>
      <c r="E11" s="1"/>
      <c r="F11" s="1"/>
      <c r="H11" s="41">
        <v>2.7</v>
      </c>
      <c r="I11" s="10" t="s">
        <v>41</v>
      </c>
      <c r="J11" s="42">
        <f>IF((AND(C10&gt;0))=TRUE,Calculations!H9,"Missing Inputs")</f>
        <v>193.34521144570084</v>
      </c>
      <c r="K11" s="1"/>
      <c r="L11" s="1"/>
      <c r="M11" s="1"/>
      <c r="N11" s="1"/>
      <c r="O11" s="1"/>
      <c r="P11" s="1"/>
    </row>
    <row r="12" spans="2:16" ht="15" thickBot="1" x14ac:dyDescent="0.35">
      <c r="B12" s="49" t="s">
        <v>28</v>
      </c>
      <c r="C12" s="4">
        <v>18.100000000000001</v>
      </c>
      <c r="D12" s="50">
        <v>2.8</v>
      </c>
      <c r="E12" s="1"/>
      <c r="F12" s="72" t="s">
        <v>63</v>
      </c>
      <c r="H12" s="41">
        <v>2.8</v>
      </c>
      <c r="I12" s="10" t="s">
        <v>46</v>
      </c>
      <c r="J12" s="42">
        <f>IF(F13=FALSE,Calculations!H10,"Not Selected")</f>
        <v>733.38937499999997</v>
      </c>
      <c r="K12" s="1"/>
      <c r="L12" s="1"/>
      <c r="M12" s="1"/>
      <c r="N12" s="1"/>
      <c r="O12" s="1"/>
      <c r="P12" s="1"/>
    </row>
    <row r="13" spans="2:16" ht="15" thickBot="1" x14ac:dyDescent="0.35">
      <c r="B13" s="51" t="s">
        <v>29</v>
      </c>
      <c r="C13" s="4">
        <v>35</v>
      </c>
      <c r="D13" s="50" t="s">
        <v>30</v>
      </c>
      <c r="E13" s="1"/>
      <c r="F13" s="73" t="b">
        <v>0</v>
      </c>
      <c r="H13" s="41">
        <v>2.8</v>
      </c>
      <c r="I13" s="10" t="s">
        <v>47</v>
      </c>
      <c r="J13" s="42" t="str">
        <f>IF(F13=TRUE,Calculations!H11,"Not Selected")</f>
        <v>Not Selected</v>
      </c>
      <c r="K13" s="1"/>
      <c r="L13" s="1"/>
      <c r="M13" s="1"/>
      <c r="N13" s="1"/>
      <c r="O13" s="1"/>
      <c r="P13" s="1"/>
    </row>
    <row r="14" spans="2:16" ht="15" thickBot="1" x14ac:dyDescent="0.35">
      <c r="B14" s="51" t="s">
        <v>66</v>
      </c>
      <c r="C14" s="4"/>
      <c r="D14" s="50">
        <v>2</v>
      </c>
      <c r="E14" s="1"/>
      <c r="F14" s="1"/>
      <c r="H14" s="43">
        <v>2.8</v>
      </c>
      <c r="I14" s="44" t="s">
        <v>42</v>
      </c>
      <c r="J14" s="45">
        <f>IF(C12&gt;0,Calculations!H12,"Missing Inputs")</f>
        <v>34.999999999999993</v>
      </c>
      <c r="K14" s="1"/>
      <c r="L14" s="1"/>
      <c r="M14" s="1"/>
      <c r="N14" s="1"/>
      <c r="O14" s="1"/>
      <c r="P14" s="1"/>
    </row>
    <row r="15" spans="2:16" x14ac:dyDescent="0.3">
      <c r="B15" s="51" t="s">
        <v>32</v>
      </c>
      <c r="C15" s="4">
        <v>0.47599999999999998</v>
      </c>
      <c r="D15" s="50">
        <v>2</v>
      </c>
      <c r="E15" s="1"/>
      <c r="F15" s="1"/>
      <c r="I15"/>
      <c r="J15"/>
      <c r="K15"/>
      <c r="L15" s="1"/>
      <c r="M15" s="1"/>
      <c r="N15" s="1"/>
      <c r="O15" s="1"/>
      <c r="P15" s="1"/>
    </row>
    <row r="16" spans="2:16" ht="15" thickBot="1" x14ac:dyDescent="0.35">
      <c r="B16" s="52" t="s">
        <v>53</v>
      </c>
      <c r="C16" s="53">
        <v>9997397.1666659769</v>
      </c>
      <c r="D16" s="54">
        <v>2</v>
      </c>
      <c r="E16" s="1"/>
      <c r="F16" s="1"/>
      <c r="I16"/>
      <c r="J16"/>
      <c r="K16"/>
      <c r="L16" s="1"/>
      <c r="M16" s="1"/>
      <c r="N16" s="1"/>
      <c r="O16" s="1"/>
      <c r="P16" s="1"/>
    </row>
    <row r="17" spans="9:16" x14ac:dyDescent="0.3">
      <c r="I17"/>
      <c r="J17"/>
      <c r="K17"/>
      <c r="L17" s="1"/>
      <c r="M17" s="1"/>
      <c r="N17" s="1"/>
      <c r="O17" s="1"/>
      <c r="P17" s="1"/>
    </row>
    <row r="18" spans="9:16" x14ac:dyDescent="0.3">
      <c r="I18"/>
      <c r="J18"/>
      <c r="K18"/>
      <c r="L18" s="1"/>
      <c r="M18" s="1"/>
      <c r="N18" s="1"/>
      <c r="O18" s="1"/>
      <c r="P18" s="1"/>
    </row>
    <row r="19" spans="9:16" x14ac:dyDescent="0.3">
      <c r="I19"/>
      <c r="J19"/>
      <c r="K19"/>
      <c r="L19" s="1"/>
      <c r="M19" s="1"/>
      <c r="N19" s="1"/>
      <c r="O19" s="1"/>
      <c r="P19" s="1"/>
    </row>
    <row r="20" spans="9:16" x14ac:dyDescent="0.3">
      <c r="I20"/>
      <c r="J20"/>
      <c r="K20"/>
      <c r="L20" s="1"/>
      <c r="M20" s="1"/>
      <c r="N20" s="1"/>
      <c r="O20" s="1"/>
      <c r="P20" s="1"/>
    </row>
    <row r="21" spans="9:16" x14ac:dyDescent="0.3">
      <c r="I21"/>
      <c r="J21"/>
      <c r="K21"/>
      <c r="L21"/>
      <c r="N21"/>
    </row>
    <row r="22" spans="9:16" x14ac:dyDescent="0.3">
      <c r="I22"/>
      <c r="J22"/>
      <c r="K22"/>
      <c r="L22"/>
      <c r="N22"/>
    </row>
    <row r="23" spans="9:16" x14ac:dyDescent="0.3">
      <c r="I23"/>
      <c r="J23"/>
      <c r="K23"/>
      <c r="L23"/>
      <c r="N23"/>
    </row>
    <row r="24" spans="9:16" x14ac:dyDescent="0.3">
      <c r="I24"/>
      <c r="J24"/>
      <c r="K24"/>
      <c r="L24"/>
      <c r="N24"/>
    </row>
    <row r="25" spans="9:16" x14ac:dyDescent="0.3">
      <c r="I25"/>
      <c r="J25"/>
      <c r="K25"/>
      <c r="L25"/>
      <c r="N25"/>
    </row>
    <row r="26" spans="9:16" x14ac:dyDescent="0.3">
      <c r="I26"/>
      <c r="J26"/>
      <c r="K26"/>
      <c r="L26"/>
      <c r="N26"/>
    </row>
    <row r="27" spans="9:16" x14ac:dyDescent="0.3">
      <c r="I27"/>
      <c r="J27"/>
      <c r="K27"/>
      <c r="L27"/>
      <c r="N27"/>
    </row>
    <row r="28" spans="9:16" x14ac:dyDescent="0.3">
      <c r="I28"/>
      <c r="J28"/>
      <c r="K28"/>
      <c r="L28"/>
      <c r="N28"/>
    </row>
    <row r="29" spans="9:16" x14ac:dyDescent="0.3">
      <c r="I29"/>
      <c r="J29"/>
      <c r="K29"/>
      <c r="L29"/>
      <c r="N29"/>
    </row>
    <row r="30" spans="9:16" x14ac:dyDescent="0.3">
      <c r="I30"/>
      <c r="J30"/>
      <c r="K30"/>
      <c r="L30"/>
      <c r="N30"/>
    </row>
    <row r="31" spans="9:16" x14ac:dyDescent="0.3">
      <c r="I31"/>
      <c r="J31"/>
      <c r="K31"/>
      <c r="L31"/>
      <c r="N31"/>
    </row>
    <row r="32" spans="9:16" x14ac:dyDescent="0.3">
      <c r="I32"/>
      <c r="J32"/>
      <c r="K32"/>
      <c r="L32"/>
      <c r="N32"/>
    </row>
    <row r="33" spans="9:15" x14ac:dyDescent="0.3">
      <c r="I33"/>
      <c r="J33"/>
      <c r="K33"/>
      <c r="L33"/>
      <c r="N33"/>
    </row>
    <row r="34" spans="9:15" x14ac:dyDescent="0.3">
      <c r="J34"/>
      <c r="K34"/>
      <c r="L34"/>
      <c r="N34"/>
    </row>
    <row r="35" spans="9:15" x14ac:dyDescent="0.3">
      <c r="I35"/>
      <c r="J35"/>
      <c r="K35"/>
      <c r="L35"/>
      <c r="N35"/>
    </row>
    <row r="36" spans="9:15" x14ac:dyDescent="0.3">
      <c r="I36"/>
      <c r="J36"/>
      <c r="K36"/>
      <c r="L36"/>
      <c r="N36"/>
    </row>
    <row r="37" spans="9:15" x14ac:dyDescent="0.3">
      <c r="I37"/>
      <c r="J37"/>
      <c r="K37"/>
      <c r="L37"/>
      <c r="N37"/>
    </row>
    <row r="38" spans="9:15" x14ac:dyDescent="0.3">
      <c r="I38"/>
      <c r="J38"/>
      <c r="K38"/>
      <c r="L38"/>
      <c r="N38"/>
    </row>
    <row r="39" spans="9:15" x14ac:dyDescent="0.3">
      <c r="I39"/>
      <c r="J39"/>
      <c r="K39"/>
      <c r="L39"/>
      <c r="N39"/>
    </row>
    <row r="40" spans="9:15" x14ac:dyDescent="0.3">
      <c r="I40"/>
      <c r="J40"/>
      <c r="K40"/>
      <c r="L40"/>
      <c r="N40"/>
    </row>
    <row r="41" spans="9:15" x14ac:dyDescent="0.3">
      <c r="I41"/>
      <c r="J41"/>
      <c r="K41"/>
      <c r="L41"/>
      <c r="N41"/>
    </row>
    <row r="42" spans="9:15" x14ac:dyDescent="0.3">
      <c r="I42"/>
      <c r="J42"/>
      <c r="K42"/>
      <c r="L42"/>
      <c r="N42"/>
    </row>
    <row r="43" spans="9:15" x14ac:dyDescent="0.3">
      <c r="I43"/>
      <c r="J43"/>
      <c r="K43"/>
      <c r="L43"/>
      <c r="N43"/>
    </row>
    <row r="44" spans="9:15" x14ac:dyDescent="0.3">
      <c r="I44"/>
      <c r="J44"/>
      <c r="K44"/>
      <c r="L44"/>
      <c r="N44"/>
    </row>
    <row r="45" spans="9:15" x14ac:dyDescent="0.3">
      <c r="I45"/>
      <c r="J45"/>
      <c r="K45"/>
      <c r="L45"/>
      <c r="N45"/>
    </row>
    <row r="46" spans="9:15" x14ac:dyDescent="0.3">
      <c r="I46"/>
      <c r="J46"/>
      <c r="K46" s="1"/>
      <c r="L46" s="1"/>
      <c r="M46" s="1"/>
      <c r="N46" s="1"/>
      <c r="O46" s="1"/>
    </row>
    <row r="47" spans="9:15" x14ac:dyDescent="0.3">
      <c r="I47"/>
      <c r="J47"/>
      <c r="K47" s="1"/>
      <c r="L47" s="1"/>
      <c r="M47" s="1"/>
      <c r="N47" s="1"/>
      <c r="O47" s="1"/>
    </row>
    <row r="48" spans="9:15" x14ac:dyDescent="0.3">
      <c r="I48"/>
      <c r="J48"/>
      <c r="K48" s="1"/>
      <c r="L48" s="1"/>
      <c r="M48" s="1"/>
      <c r="N48" s="1"/>
      <c r="O48" s="1"/>
    </row>
    <row r="49" spans="9:15" x14ac:dyDescent="0.3">
      <c r="I49"/>
      <c r="J49"/>
      <c r="K49" s="1"/>
      <c r="L49" s="1"/>
      <c r="M49" s="1"/>
      <c r="N49" s="1"/>
      <c r="O49" s="1"/>
    </row>
    <row r="50" spans="9:15" x14ac:dyDescent="0.3">
      <c r="K50" s="1"/>
      <c r="L50" s="1"/>
      <c r="M50" s="1"/>
      <c r="N50" s="1"/>
      <c r="O50" s="1"/>
    </row>
    <row r="51" spans="9:15" x14ac:dyDescent="0.3">
      <c r="K51" s="1"/>
      <c r="L51" s="1"/>
      <c r="M51" s="1"/>
      <c r="N51" s="1"/>
      <c r="O51" s="1"/>
    </row>
    <row r="52" spans="9:15" x14ac:dyDescent="0.3">
      <c r="K52" s="1"/>
      <c r="L52" s="1"/>
      <c r="M52" s="1"/>
      <c r="N52" s="1"/>
      <c r="O52" s="1"/>
    </row>
    <row r="53" spans="9:15" x14ac:dyDescent="0.3">
      <c r="K53" s="1"/>
      <c r="L53" s="1"/>
      <c r="M53" s="1"/>
      <c r="N53" s="1"/>
      <c r="O53" s="1"/>
    </row>
    <row r="54" spans="9:15" x14ac:dyDescent="0.3">
      <c r="K54" s="1"/>
      <c r="L54" s="1"/>
      <c r="M54" s="1"/>
      <c r="N54" s="1"/>
      <c r="O54" s="1"/>
    </row>
    <row r="55" spans="9:15" x14ac:dyDescent="0.3">
      <c r="K55" s="1"/>
      <c r="L55" s="1"/>
      <c r="M55" s="1"/>
      <c r="N55" s="1"/>
      <c r="O55" s="1"/>
    </row>
    <row r="56" spans="9:15" x14ac:dyDescent="0.3">
      <c r="K56" s="1"/>
      <c r="L56" s="1"/>
      <c r="M56" s="1"/>
      <c r="N56" s="1"/>
      <c r="O56" s="1"/>
    </row>
    <row r="57" spans="9:15" x14ac:dyDescent="0.3">
      <c r="K57" s="1"/>
      <c r="L57" s="1"/>
      <c r="M57" s="1"/>
      <c r="N57" s="1"/>
      <c r="O57" s="1"/>
    </row>
    <row r="58" spans="9:15" x14ac:dyDescent="0.3">
      <c r="K58" s="1"/>
      <c r="L58" s="1"/>
      <c r="M58" s="1"/>
      <c r="N58" s="1"/>
      <c r="O58" s="1"/>
    </row>
    <row r="59" spans="9:15" x14ac:dyDescent="0.3">
      <c r="K59" s="1"/>
      <c r="L59" s="1"/>
      <c r="M59" s="1"/>
      <c r="N59" s="1"/>
      <c r="O59" s="1"/>
    </row>
    <row r="60" spans="9:15" x14ac:dyDescent="0.3">
      <c r="K60" s="1"/>
      <c r="L60" s="1"/>
      <c r="M60" s="1"/>
      <c r="N60" s="1"/>
      <c r="O60" s="1"/>
    </row>
    <row r="61" spans="9:15" x14ac:dyDescent="0.3">
      <c r="K61" s="1"/>
      <c r="L61" s="1"/>
      <c r="M61" s="1"/>
      <c r="N61" s="1"/>
      <c r="O61" s="1"/>
    </row>
    <row r="62" spans="9:15" x14ac:dyDescent="0.3">
      <c r="K62" s="1"/>
      <c r="L62" s="1"/>
      <c r="M62" s="1"/>
      <c r="N62" s="1"/>
      <c r="O62" s="1"/>
    </row>
    <row r="63" spans="9:15" x14ac:dyDescent="0.3">
      <c r="K63" s="1"/>
      <c r="L63" s="1"/>
      <c r="M63" s="1"/>
      <c r="N63" s="1"/>
      <c r="O63" s="1"/>
    </row>
    <row r="64" spans="9:15" x14ac:dyDescent="0.3">
      <c r="K64" s="1"/>
      <c r="L64" s="1"/>
      <c r="M64" s="1"/>
      <c r="N64" s="1"/>
      <c r="O64" s="1"/>
    </row>
    <row r="65" spans="11:15" x14ac:dyDescent="0.3">
      <c r="K65" s="1"/>
      <c r="L65" s="1"/>
      <c r="M65" s="1"/>
      <c r="N65" s="1"/>
      <c r="O65" s="1"/>
    </row>
    <row r="66" spans="11:15" x14ac:dyDescent="0.3">
      <c r="K66" s="1"/>
      <c r="L66" s="1"/>
      <c r="M66" s="1"/>
      <c r="N66" s="1"/>
      <c r="O66" s="1"/>
    </row>
    <row r="67" spans="11:15" x14ac:dyDescent="0.3">
      <c r="K67" s="1"/>
      <c r="L67" s="1"/>
      <c r="M67" s="1"/>
      <c r="N67" s="1"/>
      <c r="O67" s="1"/>
    </row>
    <row r="68" spans="11:15" x14ac:dyDescent="0.3">
      <c r="K68" s="1"/>
      <c r="L68" s="1"/>
      <c r="M68" s="1"/>
      <c r="N68" s="1"/>
      <c r="O68" s="1"/>
    </row>
    <row r="69" spans="11:15" x14ac:dyDescent="0.3">
      <c r="K69" s="1"/>
      <c r="L69" s="1"/>
      <c r="M69" s="1"/>
      <c r="N69" s="1"/>
      <c r="O69" s="1"/>
    </row>
    <row r="70" spans="11:15" x14ac:dyDescent="0.3">
      <c r="K70" s="1"/>
      <c r="L70" s="1"/>
      <c r="M70" s="1"/>
      <c r="N70" s="1"/>
      <c r="O70" s="1"/>
    </row>
    <row r="71" spans="11:15" x14ac:dyDescent="0.3">
      <c r="K71" s="1"/>
      <c r="L71" s="1"/>
      <c r="M71" s="1"/>
      <c r="N71" s="1"/>
      <c r="O71" s="1"/>
    </row>
    <row r="72" spans="11:15" x14ac:dyDescent="0.3">
      <c r="K72" s="1"/>
      <c r="L72" s="1"/>
      <c r="M72" s="1"/>
      <c r="N72" s="1"/>
      <c r="O72" s="1"/>
    </row>
    <row r="73" spans="11:15" x14ac:dyDescent="0.3">
      <c r="K73" s="1"/>
      <c r="L73" s="1"/>
      <c r="M73" s="1"/>
      <c r="N73" s="1"/>
      <c r="O73" s="1"/>
    </row>
    <row r="74" spans="11:15" x14ac:dyDescent="0.3">
      <c r="K74" s="1"/>
      <c r="L74" s="1"/>
      <c r="M74" s="1"/>
      <c r="N74" s="1"/>
      <c r="O74" s="1"/>
    </row>
    <row r="75" spans="11:15" x14ac:dyDescent="0.3">
      <c r="K75" s="1"/>
      <c r="L75" s="1"/>
      <c r="M75" s="1"/>
      <c r="N75" s="1"/>
      <c r="O75" s="1"/>
    </row>
    <row r="76" spans="11:15" x14ac:dyDescent="0.3">
      <c r="K76" s="1"/>
      <c r="L76" s="1"/>
      <c r="M76" s="1"/>
      <c r="N76" s="1"/>
      <c r="O76" s="1"/>
    </row>
    <row r="77" spans="11:15" x14ac:dyDescent="0.3">
      <c r="K77" s="1"/>
      <c r="L77" s="1"/>
      <c r="M77" s="1"/>
      <c r="N77" s="1"/>
      <c r="O77" s="1"/>
    </row>
    <row r="78" spans="11:15" x14ac:dyDescent="0.3">
      <c r="K78" s="1"/>
      <c r="L78" s="1"/>
      <c r="M78" s="1"/>
      <c r="N78" s="1"/>
      <c r="O78" s="1"/>
    </row>
    <row r="79" spans="11:15" x14ac:dyDescent="0.3">
      <c r="K79" s="1"/>
      <c r="L79" s="1"/>
      <c r="M79" s="1"/>
      <c r="N79" s="1"/>
      <c r="O79" s="1"/>
    </row>
    <row r="80" spans="11:15" x14ac:dyDescent="0.3">
      <c r="K80" s="1"/>
      <c r="L80" s="1"/>
      <c r="M80" s="1"/>
      <c r="N80" s="1"/>
      <c r="O80" s="1"/>
    </row>
    <row r="81" spans="11:15" x14ac:dyDescent="0.3">
      <c r="K81" s="1"/>
      <c r="L81" s="1"/>
      <c r="M81" s="1"/>
      <c r="N81" s="1"/>
      <c r="O81" s="1"/>
    </row>
    <row r="82" spans="11:15" x14ac:dyDescent="0.3">
      <c r="K82" s="1"/>
      <c r="L82" s="1"/>
      <c r="M82" s="1"/>
      <c r="N82" s="1"/>
      <c r="O82" s="1"/>
    </row>
    <row r="83" spans="11:15" x14ac:dyDescent="0.3">
      <c r="K83" s="1"/>
      <c r="L83" s="1"/>
      <c r="M83" s="1"/>
      <c r="N83" s="1"/>
      <c r="O83" s="1"/>
    </row>
    <row r="84" spans="11:15" x14ac:dyDescent="0.3">
      <c r="K84" s="1"/>
      <c r="L84" s="1"/>
      <c r="M84" s="1"/>
      <c r="N84" s="1"/>
      <c r="O84" s="1"/>
    </row>
    <row r="85" spans="11:15" x14ac:dyDescent="0.3">
      <c r="K85" s="1"/>
      <c r="L85" s="1"/>
      <c r="M85" s="1"/>
      <c r="N85" s="1"/>
      <c r="O85" s="1"/>
    </row>
    <row r="86" spans="11:15" x14ac:dyDescent="0.3">
      <c r="K86" s="1"/>
      <c r="L86" s="1"/>
      <c r="M86" s="1"/>
      <c r="N86" s="1"/>
      <c r="O86" s="1"/>
    </row>
    <row r="87" spans="11:15" x14ac:dyDescent="0.3">
      <c r="K87" s="1"/>
      <c r="L87" s="1"/>
      <c r="M87" s="1"/>
      <c r="N87" s="1"/>
      <c r="O87" s="1"/>
    </row>
    <row r="88" spans="11:15" x14ac:dyDescent="0.3">
      <c r="K88" s="1"/>
      <c r="L88" s="1"/>
      <c r="M88" s="1"/>
      <c r="N88" s="1"/>
      <c r="O88" s="1"/>
    </row>
    <row r="89" spans="11:15" x14ac:dyDescent="0.3">
      <c r="K89" s="1"/>
      <c r="L89" s="1"/>
      <c r="M89" s="1"/>
      <c r="N89" s="1"/>
      <c r="O89" s="1"/>
    </row>
    <row r="90" spans="11:15" x14ac:dyDescent="0.3">
      <c r="K90" s="1"/>
      <c r="L90" s="1"/>
      <c r="M90" s="1"/>
      <c r="N90" s="1"/>
      <c r="O90" s="1"/>
    </row>
    <row r="91" spans="11:15" x14ac:dyDescent="0.3">
      <c r="K91" s="1"/>
      <c r="L91" s="1"/>
      <c r="M91" s="1"/>
      <c r="N91" s="1"/>
      <c r="O91" s="1"/>
    </row>
    <row r="92" spans="11:15" x14ac:dyDescent="0.3">
      <c r="K92" s="1"/>
      <c r="L92" s="1"/>
      <c r="M92" s="1"/>
      <c r="N92" s="1"/>
      <c r="O92" s="1"/>
    </row>
    <row r="93" spans="11:15" x14ac:dyDescent="0.3">
      <c r="K93" s="1"/>
      <c r="L93" s="1"/>
      <c r="M93" s="1"/>
      <c r="N93" s="1"/>
      <c r="O93" s="1"/>
    </row>
    <row r="94" spans="11:15" x14ac:dyDescent="0.3">
      <c r="K94" s="1"/>
      <c r="L94" s="1"/>
      <c r="M94" s="1"/>
      <c r="N94" s="1"/>
      <c r="O94" s="1"/>
    </row>
    <row r="95" spans="11:15" x14ac:dyDescent="0.3">
      <c r="K95" s="1"/>
      <c r="L95" s="1"/>
      <c r="M95" s="1"/>
      <c r="N95" s="1"/>
      <c r="O95" s="1"/>
    </row>
    <row r="96" spans="11:15" x14ac:dyDescent="0.3">
      <c r="K96" s="1"/>
      <c r="L96" s="1"/>
      <c r="M96" s="1"/>
      <c r="N96" s="1"/>
      <c r="O96" s="1"/>
    </row>
    <row r="97" spans="11:15" x14ac:dyDescent="0.3">
      <c r="K97" s="1"/>
      <c r="L97" s="1"/>
      <c r="M97" s="1"/>
      <c r="N97" s="1"/>
      <c r="O97" s="1"/>
    </row>
    <row r="98" spans="11:15" x14ac:dyDescent="0.3">
      <c r="K98" s="1"/>
      <c r="L98" s="1"/>
      <c r="M98" s="1"/>
      <c r="N98" s="1"/>
      <c r="O98" s="1"/>
    </row>
    <row r="99" spans="11:15" x14ac:dyDescent="0.3">
      <c r="K99" s="1"/>
      <c r="L99" s="1"/>
      <c r="M99" s="1"/>
      <c r="N99" s="1"/>
      <c r="O99" s="1"/>
    </row>
    <row r="100" spans="11:15" x14ac:dyDescent="0.3">
      <c r="K100" s="1"/>
      <c r="L100" s="1"/>
      <c r="M100" s="1"/>
      <c r="N100" s="1"/>
      <c r="O100" s="1"/>
    </row>
    <row r="101" spans="11:15" x14ac:dyDescent="0.3">
      <c r="K101" s="1"/>
      <c r="L101" s="1"/>
      <c r="M101" s="1"/>
      <c r="N101" s="1"/>
      <c r="O101" s="1"/>
    </row>
    <row r="102" spans="11:15" x14ac:dyDescent="0.3">
      <c r="K102" s="1"/>
      <c r="L102" s="1"/>
      <c r="M102" s="1"/>
      <c r="N102" s="1"/>
      <c r="O102" s="1"/>
    </row>
    <row r="103" spans="11:15" x14ac:dyDescent="0.3">
      <c r="K103" s="1"/>
      <c r="L103" s="1"/>
      <c r="M103" s="1"/>
      <c r="N103" s="1"/>
      <c r="O103" s="1"/>
    </row>
    <row r="104" spans="11:15" x14ac:dyDescent="0.3">
      <c r="K104" s="1"/>
      <c r="L104" s="1"/>
      <c r="M104" s="1"/>
      <c r="N104" s="1"/>
      <c r="O104" s="1"/>
    </row>
    <row r="105" spans="11:15" x14ac:dyDescent="0.3">
      <c r="K105" s="1"/>
      <c r="L105" s="1"/>
      <c r="M105" s="1"/>
      <c r="N105" s="1"/>
      <c r="O105" s="1"/>
    </row>
    <row r="106" spans="11:15" x14ac:dyDescent="0.3">
      <c r="K106" s="1"/>
      <c r="L106" s="1"/>
      <c r="M106" s="1"/>
      <c r="N106" s="1"/>
      <c r="O106" s="1"/>
    </row>
    <row r="107" spans="11:15" x14ac:dyDescent="0.3">
      <c r="K107" s="1"/>
      <c r="L107" s="1"/>
      <c r="M107" s="1"/>
      <c r="N107" s="1"/>
      <c r="O107" s="1"/>
    </row>
    <row r="108" spans="11:15" x14ac:dyDescent="0.3">
      <c r="K108" s="1"/>
      <c r="L108" s="1"/>
      <c r="M108" s="1"/>
      <c r="N108" s="1"/>
      <c r="O108" s="1"/>
    </row>
    <row r="109" spans="11:15" x14ac:dyDescent="0.3">
      <c r="K109" s="1"/>
      <c r="L109" s="1"/>
      <c r="M109" s="1"/>
      <c r="N109" s="1"/>
      <c r="O109" s="1"/>
    </row>
    <row r="110" spans="11:15" x14ac:dyDescent="0.3">
      <c r="K110" s="1"/>
      <c r="L110" s="1"/>
      <c r="M110" s="1"/>
      <c r="N110" s="1"/>
      <c r="O110" s="1"/>
    </row>
    <row r="111" spans="11:15" x14ac:dyDescent="0.3">
      <c r="K111" s="1"/>
      <c r="L111" s="1"/>
      <c r="M111" s="1"/>
      <c r="N111" s="1"/>
      <c r="O111" s="1"/>
    </row>
    <row r="112" spans="11:15" x14ac:dyDescent="0.3">
      <c r="K112" s="1"/>
      <c r="L112" s="1"/>
      <c r="M112" s="1"/>
      <c r="N112" s="1"/>
      <c r="O112" s="1"/>
    </row>
    <row r="113" spans="11:15" x14ac:dyDescent="0.3">
      <c r="K113" s="1"/>
      <c r="L113" s="1"/>
      <c r="M113" s="1"/>
      <c r="N113" s="1"/>
      <c r="O113" s="1"/>
    </row>
    <row r="114" spans="11:15" x14ac:dyDescent="0.3">
      <c r="K114" s="1"/>
      <c r="L114" s="1"/>
      <c r="M114" s="1"/>
      <c r="N114" s="1"/>
      <c r="O114" s="1"/>
    </row>
    <row r="115" spans="11:15" x14ac:dyDescent="0.3">
      <c r="K115" s="1"/>
      <c r="L115" s="1"/>
      <c r="M115" s="1"/>
      <c r="N115" s="1"/>
      <c r="O115" s="1"/>
    </row>
    <row r="116" spans="11:15" x14ac:dyDescent="0.3">
      <c r="K116" s="1"/>
      <c r="L116" s="1"/>
      <c r="M116" s="1"/>
      <c r="N116" s="1"/>
      <c r="O116" s="1"/>
    </row>
    <row r="117" spans="11:15" x14ac:dyDescent="0.3">
      <c r="K117" s="1"/>
      <c r="L117" s="1"/>
      <c r="M117" s="1"/>
      <c r="N117" s="1"/>
      <c r="O117" s="1"/>
    </row>
    <row r="118" spans="11:15" x14ac:dyDescent="0.3">
      <c r="K118" s="1"/>
      <c r="L118" s="1"/>
      <c r="M118" s="1"/>
      <c r="N118" s="1"/>
      <c r="O118" s="1"/>
    </row>
    <row r="119" spans="11:15" x14ac:dyDescent="0.3">
      <c r="K119" s="1"/>
      <c r="L119" s="1"/>
      <c r="M119" s="1"/>
      <c r="N119" s="1"/>
      <c r="O119" s="1"/>
    </row>
    <row r="120" spans="11:15" x14ac:dyDescent="0.3">
      <c r="K120" s="1"/>
      <c r="L120" s="1"/>
      <c r="M120" s="1"/>
      <c r="N120" s="1"/>
      <c r="O120" s="1"/>
    </row>
    <row r="121" spans="11:15" x14ac:dyDescent="0.3">
      <c r="K121" s="1"/>
      <c r="L121" s="1"/>
      <c r="M121" s="1"/>
      <c r="N121" s="1"/>
      <c r="O121" s="1"/>
    </row>
    <row r="122" spans="11:15" x14ac:dyDescent="0.3">
      <c r="K122" s="1"/>
      <c r="L122" s="1"/>
      <c r="M122" s="1"/>
      <c r="N122" s="1"/>
      <c r="O122" s="1"/>
    </row>
    <row r="123" spans="11:15" x14ac:dyDescent="0.3">
      <c r="K123" s="1"/>
      <c r="L123" s="1"/>
      <c r="M123" s="1"/>
      <c r="N123" s="1"/>
      <c r="O123" s="1"/>
    </row>
    <row r="124" spans="11:15" x14ac:dyDescent="0.3">
      <c r="K124" s="1"/>
      <c r="L124" s="1"/>
      <c r="M124" s="1"/>
      <c r="N124" s="1"/>
      <c r="O124" s="1"/>
    </row>
    <row r="125" spans="11:15" x14ac:dyDescent="0.3">
      <c r="K125" s="1"/>
      <c r="L125" s="1"/>
      <c r="M125" s="1"/>
      <c r="N125" s="1"/>
      <c r="O125" s="1"/>
    </row>
    <row r="126" spans="11:15" x14ac:dyDescent="0.3">
      <c r="K126" s="1"/>
      <c r="L126" s="1"/>
      <c r="M126" s="1"/>
      <c r="N126" s="1"/>
      <c r="O126" s="1"/>
    </row>
    <row r="127" spans="11:15" x14ac:dyDescent="0.3">
      <c r="K127" s="1"/>
      <c r="L127" s="1"/>
      <c r="M127" s="1"/>
      <c r="N127" s="1"/>
      <c r="O127" s="1"/>
    </row>
    <row r="128" spans="11:15" x14ac:dyDescent="0.3">
      <c r="K128" s="1"/>
      <c r="L128" s="1"/>
      <c r="M128" s="1"/>
      <c r="N128" s="1"/>
      <c r="O128" s="1"/>
    </row>
    <row r="129" spans="11:15" x14ac:dyDescent="0.3">
      <c r="K129" s="1"/>
      <c r="L129" s="1"/>
      <c r="M129" s="1"/>
      <c r="N129" s="1"/>
      <c r="O129" s="1"/>
    </row>
    <row r="130" spans="11:15" x14ac:dyDescent="0.3">
      <c r="K130" s="1"/>
      <c r="L130" s="1"/>
      <c r="M130" s="1"/>
      <c r="N130" s="1"/>
      <c r="O130" s="1"/>
    </row>
    <row r="131" spans="11:15" x14ac:dyDescent="0.3">
      <c r="K131" s="1"/>
      <c r="L131" s="1"/>
      <c r="M131" s="1"/>
      <c r="N131" s="1"/>
      <c r="O131" s="1"/>
    </row>
    <row r="132" spans="11:15" x14ac:dyDescent="0.3">
      <c r="K132" s="1"/>
      <c r="L132" s="1"/>
      <c r="M132" s="1"/>
      <c r="N132" s="1"/>
      <c r="O132" s="1"/>
    </row>
    <row r="133" spans="11:15" x14ac:dyDescent="0.3">
      <c r="K133" s="1"/>
      <c r="L133" s="1"/>
      <c r="M133" s="1"/>
      <c r="N133" s="1"/>
      <c r="O133" s="1"/>
    </row>
    <row r="134" spans="11:15" x14ac:dyDescent="0.3">
      <c r="K134" s="1"/>
      <c r="L134" s="1"/>
      <c r="M134" s="1"/>
      <c r="N134" s="1"/>
      <c r="O134" s="1"/>
    </row>
    <row r="135" spans="11:15" x14ac:dyDescent="0.3">
      <c r="K135" s="1"/>
      <c r="L135" s="1"/>
      <c r="M135" s="1"/>
      <c r="N135" s="1"/>
      <c r="O135" s="1"/>
    </row>
    <row r="136" spans="11:15" x14ac:dyDescent="0.3">
      <c r="K136" s="1"/>
      <c r="L136" s="1"/>
      <c r="M136" s="1"/>
      <c r="N136" s="1"/>
      <c r="O136" s="1"/>
    </row>
    <row r="137" spans="11:15" x14ac:dyDescent="0.3">
      <c r="K137" s="1"/>
      <c r="L137" s="1"/>
      <c r="M137" s="1"/>
      <c r="N137" s="1"/>
      <c r="O137" s="1"/>
    </row>
    <row r="138" spans="11:15" x14ac:dyDescent="0.3">
      <c r="K138" s="1"/>
      <c r="L138" s="1"/>
      <c r="M138" s="1"/>
      <c r="N138" s="1"/>
      <c r="O138" s="1"/>
    </row>
    <row r="139" spans="11:15" x14ac:dyDescent="0.3">
      <c r="K139" s="1"/>
      <c r="L139" s="1"/>
      <c r="M139" s="1"/>
      <c r="N139" s="1"/>
      <c r="O139" s="1"/>
    </row>
    <row r="140" spans="11:15" x14ac:dyDescent="0.3">
      <c r="K140" s="1"/>
      <c r="L140" s="1"/>
      <c r="M140" s="1"/>
      <c r="N140" s="1"/>
      <c r="O140" s="1"/>
    </row>
    <row r="141" spans="11:15" x14ac:dyDescent="0.3">
      <c r="K141" s="1"/>
      <c r="L141" s="1"/>
      <c r="M141" s="1"/>
      <c r="N141" s="1"/>
      <c r="O141" s="1"/>
    </row>
    <row r="142" spans="11:15" x14ac:dyDescent="0.3">
      <c r="K142" s="1"/>
      <c r="L142" s="1"/>
      <c r="M142" s="1"/>
      <c r="N142" s="1"/>
      <c r="O142" s="1"/>
    </row>
    <row r="143" spans="11:15" x14ac:dyDescent="0.3">
      <c r="K143" s="1"/>
      <c r="L143" s="1"/>
      <c r="M143" s="1"/>
      <c r="N143" s="1"/>
      <c r="O143" s="1"/>
    </row>
    <row r="144" spans="11:15" x14ac:dyDescent="0.3">
      <c r="K144" s="1"/>
      <c r="L144" s="1"/>
      <c r="M144" s="1"/>
      <c r="N144" s="1"/>
      <c r="O144" s="1"/>
    </row>
    <row r="145" spans="11:15" x14ac:dyDescent="0.3">
      <c r="K145" s="1"/>
      <c r="L145" s="1"/>
      <c r="M145" s="1"/>
      <c r="N145" s="1"/>
      <c r="O145" s="1"/>
    </row>
    <row r="146" spans="11:15" x14ac:dyDescent="0.3">
      <c r="K146" s="1"/>
      <c r="L146" s="1"/>
      <c r="M146" s="1"/>
      <c r="N146" s="1"/>
      <c r="O146" s="1"/>
    </row>
    <row r="147" spans="11:15" x14ac:dyDescent="0.3">
      <c r="K147" s="1"/>
      <c r="L147" s="1"/>
      <c r="M147" s="1"/>
      <c r="N147" s="1"/>
      <c r="O147" s="1"/>
    </row>
    <row r="148" spans="11:15" x14ac:dyDescent="0.3">
      <c r="K148" s="1"/>
      <c r="L148" s="1"/>
      <c r="M148" s="1"/>
      <c r="N148" s="1"/>
      <c r="O148" s="1"/>
    </row>
    <row r="149" spans="11:15" x14ac:dyDescent="0.3">
      <c r="K149" s="1"/>
      <c r="L149" s="1"/>
      <c r="M149" s="1"/>
      <c r="N149" s="1"/>
      <c r="O149" s="1"/>
    </row>
    <row r="150" spans="11:15" x14ac:dyDescent="0.3">
      <c r="K150" s="1"/>
      <c r="L150" s="1"/>
      <c r="M150" s="1"/>
      <c r="N150" s="1"/>
      <c r="O150" s="1"/>
    </row>
    <row r="151" spans="11:15" x14ac:dyDescent="0.3">
      <c r="K151" s="1"/>
      <c r="L151" s="1"/>
      <c r="M151" s="1"/>
      <c r="N151" s="1"/>
      <c r="O151" s="1"/>
    </row>
    <row r="152" spans="11:15" x14ac:dyDescent="0.3">
      <c r="K152" s="1"/>
      <c r="L152" s="1"/>
      <c r="M152" s="1"/>
      <c r="N152" s="1"/>
      <c r="O152" s="1"/>
    </row>
    <row r="153" spans="11:15" x14ac:dyDescent="0.3">
      <c r="K153" s="1"/>
      <c r="L153" s="1"/>
      <c r="M153" s="1"/>
      <c r="N153" s="1"/>
      <c r="O153" s="1"/>
    </row>
    <row r="154" spans="11:15" x14ac:dyDescent="0.3">
      <c r="K154" s="1"/>
      <c r="L154" s="1"/>
      <c r="M154" s="1"/>
      <c r="N154" s="1"/>
      <c r="O154" s="1"/>
    </row>
    <row r="155" spans="11:15" x14ac:dyDescent="0.3">
      <c r="K155" s="1"/>
      <c r="L155" s="1"/>
      <c r="M155" s="1"/>
      <c r="N155" s="1"/>
      <c r="O155" s="1"/>
    </row>
    <row r="156" spans="11:15" x14ac:dyDescent="0.3">
      <c r="K156" s="1"/>
      <c r="L156" s="1"/>
      <c r="M156" s="1"/>
      <c r="N156" s="1"/>
      <c r="O156" s="1"/>
    </row>
    <row r="157" spans="11:15" x14ac:dyDescent="0.3">
      <c r="K157" s="1"/>
      <c r="L157" s="1"/>
      <c r="M157" s="1"/>
      <c r="N157" s="1"/>
      <c r="O157" s="1"/>
    </row>
    <row r="158" spans="11:15" x14ac:dyDescent="0.3">
      <c r="K158" s="1"/>
      <c r="L158" s="1"/>
      <c r="M158" s="1"/>
      <c r="N158" s="1"/>
      <c r="O158" s="1"/>
    </row>
    <row r="159" spans="11:15" x14ac:dyDescent="0.3">
      <c r="K159" s="1"/>
      <c r="L159" s="1"/>
      <c r="M159" s="1"/>
      <c r="N159" s="1"/>
      <c r="O159" s="1"/>
    </row>
    <row r="160" spans="11:15" x14ac:dyDescent="0.3">
      <c r="K160" s="1"/>
      <c r="L160" s="1"/>
      <c r="M160" s="1"/>
      <c r="N160" s="1"/>
      <c r="O160" s="1"/>
    </row>
    <row r="161" spans="11:15" x14ac:dyDescent="0.3">
      <c r="K161" s="1"/>
      <c r="L161" s="1"/>
      <c r="M161" s="1"/>
      <c r="N161" s="1"/>
      <c r="O161" s="1"/>
    </row>
    <row r="162" spans="11:15" x14ac:dyDescent="0.3">
      <c r="K162" s="1"/>
      <c r="L162" s="1"/>
      <c r="M162" s="1"/>
      <c r="N162" s="1"/>
      <c r="O162" s="1"/>
    </row>
    <row r="163" spans="11:15" x14ac:dyDescent="0.3">
      <c r="K163" s="1"/>
      <c r="L163" s="1"/>
      <c r="M163" s="1"/>
      <c r="N163" s="1"/>
      <c r="O163" s="1"/>
    </row>
    <row r="164" spans="11:15" x14ac:dyDescent="0.3">
      <c r="K164" s="1"/>
      <c r="L164" s="1"/>
      <c r="M164" s="1"/>
      <c r="N164" s="1"/>
      <c r="O164" s="1"/>
    </row>
    <row r="165" spans="11:15" x14ac:dyDescent="0.3">
      <c r="K165" s="1"/>
      <c r="L165" s="1"/>
      <c r="M165" s="1"/>
      <c r="N165" s="1"/>
      <c r="O165" s="1"/>
    </row>
    <row r="166" spans="11:15" x14ac:dyDescent="0.3">
      <c r="K166" s="1"/>
      <c r="L166" s="1"/>
      <c r="M166" s="1"/>
      <c r="N166" s="1"/>
      <c r="O166" s="1"/>
    </row>
    <row r="167" spans="11:15" x14ac:dyDescent="0.3">
      <c r="K167" s="1"/>
      <c r="L167" s="1"/>
      <c r="M167" s="1"/>
      <c r="N167" s="1"/>
      <c r="O167" s="1"/>
    </row>
    <row r="168" spans="11:15" x14ac:dyDescent="0.3">
      <c r="K168" s="1"/>
      <c r="L168" s="1"/>
      <c r="M168" s="1"/>
      <c r="N168" s="1"/>
      <c r="O168" s="1"/>
    </row>
    <row r="169" spans="11:15" x14ac:dyDescent="0.3">
      <c r="K169" s="1"/>
      <c r="L169" s="1"/>
      <c r="M169" s="1"/>
      <c r="N169" s="1"/>
      <c r="O169" s="1"/>
    </row>
    <row r="170" spans="11:15" x14ac:dyDescent="0.3">
      <c r="K170" s="1"/>
      <c r="L170" s="1"/>
      <c r="M170" s="1"/>
      <c r="N170" s="1"/>
      <c r="O170" s="1"/>
    </row>
    <row r="171" spans="11:15" x14ac:dyDescent="0.3">
      <c r="K171" s="1"/>
      <c r="L171" s="1"/>
      <c r="M171" s="1"/>
      <c r="N171" s="1"/>
      <c r="O171" s="1"/>
    </row>
    <row r="172" spans="11:15" x14ac:dyDescent="0.3">
      <c r="K172" s="1"/>
      <c r="L172" s="1"/>
      <c r="M172" s="1"/>
      <c r="N172" s="1"/>
      <c r="O172" s="1"/>
    </row>
    <row r="173" spans="11:15" x14ac:dyDescent="0.3">
      <c r="K173" s="1"/>
      <c r="L173" s="1"/>
      <c r="M173" s="1"/>
      <c r="N173" s="1"/>
      <c r="O173" s="1"/>
    </row>
    <row r="174" spans="11:15" x14ac:dyDescent="0.3">
      <c r="K174" s="1"/>
      <c r="L174" s="1"/>
      <c r="M174" s="1"/>
      <c r="N174" s="1"/>
      <c r="O174" s="1"/>
    </row>
    <row r="175" spans="11:15" x14ac:dyDescent="0.3">
      <c r="K175" s="1"/>
      <c r="L175" s="1"/>
      <c r="M175" s="1"/>
      <c r="N175" s="1"/>
      <c r="O175" s="1"/>
    </row>
    <row r="176" spans="11:15" x14ac:dyDescent="0.3">
      <c r="K176" s="1"/>
      <c r="L176" s="1"/>
      <c r="M176" s="1"/>
      <c r="N176" s="1"/>
      <c r="O176" s="1"/>
    </row>
    <row r="177" spans="11:15" x14ac:dyDescent="0.3">
      <c r="K177" s="1"/>
      <c r="L177" s="1"/>
      <c r="M177" s="1"/>
      <c r="N177" s="1"/>
      <c r="O177" s="1"/>
    </row>
    <row r="178" spans="11:15" x14ac:dyDescent="0.3">
      <c r="K178" s="1"/>
      <c r="L178" s="1"/>
      <c r="M178" s="1"/>
      <c r="N178" s="1"/>
      <c r="O178" s="1"/>
    </row>
    <row r="179" spans="11:15" x14ac:dyDescent="0.3">
      <c r="K179" s="1"/>
      <c r="L179" s="1"/>
      <c r="M179" s="1"/>
      <c r="N179" s="1"/>
      <c r="O179" s="1"/>
    </row>
    <row r="180" spans="11:15" x14ac:dyDescent="0.3">
      <c r="K180" s="1"/>
      <c r="L180" s="1"/>
      <c r="M180" s="1"/>
      <c r="N180" s="1"/>
      <c r="O180" s="1"/>
    </row>
    <row r="181" spans="11:15" x14ac:dyDescent="0.3">
      <c r="K181" s="1"/>
      <c r="L181" s="1"/>
      <c r="M181" s="1"/>
      <c r="N181" s="1"/>
      <c r="O181" s="1"/>
    </row>
    <row r="182" spans="11:15" x14ac:dyDescent="0.3">
      <c r="K182" s="1"/>
      <c r="L182" s="1"/>
      <c r="M182" s="1"/>
      <c r="N182" s="1"/>
      <c r="O182" s="1"/>
    </row>
    <row r="183" spans="11:15" x14ac:dyDescent="0.3">
      <c r="K183" s="1"/>
      <c r="L183" s="1"/>
      <c r="M183" s="1"/>
      <c r="N183" s="1"/>
      <c r="O183" s="1"/>
    </row>
    <row r="184" spans="11:15" x14ac:dyDescent="0.3">
      <c r="K184" s="1"/>
      <c r="L184" s="1"/>
      <c r="M184" s="1"/>
      <c r="N184" s="1"/>
      <c r="O184" s="1"/>
    </row>
    <row r="185" spans="11:15" x14ac:dyDescent="0.3">
      <c r="K185" s="1"/>
      <c r="L185" s="1"/>
      <c r="M185" s="1"/>
      <c r="N185" s="1"/>
      <c r="O185" s="1"/>
    </row>
    <row r="186" spans="11:15" x14ac:dyDescent="0.3">
      <c r="K186" s="1"/>
      <c r="L186" s="1"/>
      <c r="M186" s="1"/>
      <c r="N186" s="1"/>
      <c r="O186" s="1"/>
    </row>
    <row r="187" spans="11:15" x14ac:dyDescent="0.3">
      <c r="K187" s="1"/>
      <c r="L187" s="1"/>
      <c r="M187" s="1"/>
      <c r="N187" s="1"/>
      <c r="O187" s="1"/>
    </row>
    <row r="188" spans="11:15" x14ac:dyDescent="0.3">
      <c r="K188" s="1"/>
      <c r="L188" s="1"/>
      <c r="M188" s="1"/>
      <c r="N188" s="1"/>
      <c r="O188" s="1"/>
    </row>
    <row r="189" spans="11:15" x14ac:dyDescent="0.3">
      <c r="K189" s="1"/>
      <c r="L189" s="1"/>
      <c r="M189" s="1"/>
      <c r="N189" s="1"/>
      <c r="O189" s="1"/>
    </row>
    <row r="190" spans="11:15" x14ac:dyDescent="0.3">
      <c r="K190" s="1"/>
      <c r="L190" s="1"/>
      <c r="M190" s="1"/>
      <c r="N190" s="1"/>
      <c r="O190" s="1"/>
    </row>
    <row r="191" spans="11:15" x14ac:dyDescent="0.3">
      <c r="K191" s="1"/>
      <c r="L191" s="1"/>
      <c r="M191" s="1"/>
      <c r="N191" s="1"/>
      <c r="O191" s="1"/>
    </row>
    <row r="192" spans="11:15" x14ac:dyDescent="0.3">
      <c r="K192" s="1"/>
      <c r="L192" s="1"/>
      <c r="M192" s="1"/>
      <c r="N192" s="1"/>
      <c r="O192" s="1"/>
    </row>
    <row r="193" spans="11:15" x14ac:dyDescent="0.3">
      <c r="K193" s="1"/>
      <c r="L193" s="1"/>
      <c r="M193" s="1"/>
      <c r="N193" s="1"/>
      <c r="O193" s="1"/>
    </row>
    <row r="194" spans="11:15" x14ac:dyDescent="0.3">
      <c r="K194" s="1"/>
      <c r="L194" s="1"/>
      <c r="M194" s="1"/>
      <c r="N194" s="1"/>
      <c r="O194" s="1"/>
    </row>
    <row r="195" spans="11:15" x14ac:dyDescent="0.3">
      <c r="K195" s="1"/>
      <c r="L195" s="1"/>
      <c r="M195" s="1"/>
      <c r="N195" s="1"/>
      <c r="O195" s="1"/>
    </row>
    <row r="196" spans="11:15" x14ac:dyDescent="0.3">
      <c r="K196" s="1"/>
      <c r="L196" s="1"/>
      <c r="M196" s="1"/>
      <c r="N196" s="1"/>
      <c r="O196" s="1"/>
    </row>
    <row r="197" spans="11:15" x14ac:dyDescent="0.3">
      <c r="K197" s="1"/>
      <c r="L197" s="1"/>
      <c r="M197" s="1"/>
      <c r="N197" s="1"/>
      <c r="O197" s="1"/>
    </row>
    <row r="198" spans="11:15" x14ac:dyDescent="0.3">
      <c r="K198" s="1"/>
      <c r="L198" s="1"/>
      <c r="M198" s="1"/>
      <c r="N198" s="1"/>
      <c r="O198" s="1"/>
    </row>
    <row r="199" spans="11:15" x14ac:dyDescent="0.3">
      <c r="K199" s="1"/>
      <c r="L199" s="1"/>
      <c r="M199" s="1"/>
      <c r="N199" s="1"/>
      <c r="O199" s="1"/>
    </row>
    <row r="200" spans="11:15" x14ac:dyDescent="0.3">
      <c r="K200" s="1"/>
      <c r="L200" s="1"/>
      <c r="M200" s="1"/>
      <c r="N200" s="1"/>
      <c r="O200" s="1"/>
    </row>
    <row r="201" spans="11:15" x14ac:dyDescent="0.3">
      <c r="K201" s="1"/>
      <c r="L201" s="1"/>
      <c r="M201" s="1"/>
      <c r="N201" s="1"/>
      <c r="O201" s="1"/>
    </row>
    <row r="202" spans="11:15" x14ac:dyDescent="0.3">
      <c r="K202" s="1"/>
      <c r="L202" s="1"/>
      <c r="M202" s="1"/>
      <c r="N202" s="1"/>
      <c r="O202" s="1"/>
    </row>
    <row r="203" spans="11:15" x14ac:dyDescent="0.3">
      <c r="K203" s="1"/>
      <c r="L203" s="1"/>
      <c r="M203" s="1"/>
      <c r="N203" s="1"/>
      <c r="O203" s="1"/>
    </row>
    <row r="204" spans="11:15" x14ac:dyDescent="0.3">
      <c r="K204" s="1"/>
      <c r="L204" s="1"/>
      <c r="M204" s="1"/>
      <c r="N204" s="1"/>
      <c r="O204" s="1"/>
    </row>
    <row r="205" spans="11:15" x14ac:dyDescent="0.3">
      <c r="K205" s="1"/>
      <c r="L205" s="1"/>
      <c r="M205" s="1"/>
      <c r="N205" s="1"/>
      <c r="O205" s="1"/>
    </row>
    <row r="206" spans="11:15" x14ac:dyDescent="0.3">
      <c r="K206" s="1"/>
      <c r="L206" s="1"/>
      <c r="M206" s="1"/>
      <c r="N206" s="1"/>
      <c r="O206" s="1"/>
    </row>
    <row r="207" spans="11:15" x14ac:dyDescent="0.3">
      <c r="K207" s="1"/>
      <c r="L207" s="1"/>
      <c r="M207" s="1"/>
      <c r="N207" s="1"/>
      <c r="O207" s="1"/>
    </row>
    <row r="208" spans="11:15" x14ac:dyDescent="0.3">
      <c r="K208" s="1"/>
      <c r="L208" s="1"/>
      <c r="M208" s="1"/>
      <c r="N208" s="1"/>
      <c r="O208" s="1"/>
    </row>
    <row r="209" spans="11:15" x14ac:dyDescent="0.3">
      <c r="K209" s="1"/>
      <c r="L209" s="1"/>
      <c r="M209" s="1"/>
      <c r="N209" s="1"/>
      <c r="O209" s="1"/>
    </row>
    <row r="210" spans="11:15" x14ac:dyDescent="0.3">
      <c r="K210" s="1"/>
      <c r="L210" s="1"/>
      <c r="M210" s="1"/>
      <c r="N210" s="1"/>
      <c r="O210" s="1"/>
    </row>
    <row r="211" spans="11:15" x14ac:dyDescent="0.3">
      <c r="K211" s="1"/>
      <c r="L211" s="1"/>
      <c r="M211" s="1"/>
      <c r="N211" s="1"/>
      <c r="O211" s="1"/>
    </row>
    <row r="212" spans="11:15" x14ac:dyDescent="0.3">
      <c r="K212" s="1"/>
      <c r="L212" s="1"/>
      <c r="M212" s="1"/>
      <c r="N212" s="1"/>
      <c r="O212" s="1"/>
    </row>
    <row r="213" spans="11:15" x14ac:dyDescent="0.3">
      <c r="K213" s="1"/>
      <c r="L213" s="1"/>
      <c r="M213" s="1"/>
      <c r="N213" s="1"/>
      <c r="O213" s="1"/>
    </row>
    <row r="214" spans="11:15" x14ac:dyDescent="0.3">
      <c r="K214" s="1"/>
      <c r="L214" s="1"/>
      <c r="M214" s="1"/>
      <c r="N214" s="1"/>
      <c r="O214" s="1"/>
    </row>
    <row r="215" spans="11:15" x14ac:dyDescent="0.3">
      <c r="K215" s="1"/>
      <c r="L215" s="1"/>
      <c r="M215" s="1"/>
      <c r="N215" s="1"/>
      <c r="O215" s="1"/>
    </row>
    <row r="216" spans="11:15" x14ac:dyDescent="0.3">
      <c r="K216" s="1"/>
      <c r="L216" s="1"/>
      <c r="M216" s="1"/>
      <c r="N216" s="1"/>
      <c r="O216" s="1"/>
    </row>
    <row r="217" spans="11:15" x14ac:dyDescent="0.3">
      <c r="K217" s="1"/>
      <c r="L217" s="1"/>
      <c r="M217" s="1"/>
      <c r="N217" s="1"/>
      <c r="O217" s="1"/>
    </row>
    <row r="218" spans="11:15" x14ac:dyDescent="0.3">
      <c r="K218" s="1"/>
      <c r="L218" s="1"/>
      <c r="M218" s="1"/>
      <c r="N218" s="1"/>
      <c r="O218" s="1"/>
    </row>
    <row r="219" spans="11:15" x14ac:dyDescent="0.3">
      <c r="K219" s="1"/>
      <c r="L219" s="1"/>
      <c r="M219" s="1"/>
      <c r="N219" s="1"/>
      <c r="O219" s="1"/>
    </row>
    <row r="220" spans="11:15" x14ac:dyDescent="0.3">
      <c r="K220" s="1"/>
      <c r="L220" s="1"/>
      <c r="M220" s="1"/>
      <c r="N220" s="1"/>
      <c r="O220" s="1"/>
    </row>
    <row r="221" spans="11:15" x14ac:dyDescent="0.3">
      <c r="K221" s="1"/>
      <c r="L221" s="1"/>
      <c r="M221" s="1"/>
      <c r="N221" s="1"/>
      <c r="O221" s="1"/>
    </row>
    <row r="222" spans="11:15" x14ac:dyDescent="0.3">
      <c r="K222" s="1"/>
      <c r="L222" s="1"/>
      <c r="M222" s="1"/>
      <c r="N222" s="1"/>
      <c r="O222" s="1"/>
    </row>
    <row r="223" spans="11:15" x14ac:dyDescent="0.3">
      <c r="K223" s="1"/>
      <c r="L223" s="1"/>
      <c r="M223" s="1"/>
      <c r="N223" s="1"/>
      <c r="O223" s="1"/>
    </row>
    <row r="224" spans="11:15" x14ac:dyDescent="0.3">
      <c r="K224" s="1"/>
      <c r="L224" s="1"/>
      <c r="M224" s="1"/>
      <c r="N224" s="1"/>
      <c r="O224" s="1"/>
    </row>
    <row r="225" spans="11:15" x14ac:dyDescent="0.3">
      <c r="K225" s="1"/>
      <c r="L225" s="1"/>
      <c r="M225" s="1"/>
      <c r="N225" s="1"/>
      <c r="O225" s="1"/>
    </row>
    <row r="226" spans="11:15" x14ac:dyDescent="0.3">
      <c r="K226" s="1"/>
      <c r="L226" s="1"/>
      <c r="M226" s="1"/>
      <c r="N226" s="1"/>
      <c r="O226" s="1"/>
    </row>
    <row r="227" spans="11:15" x14ac:dyDescent="0.3">
      <c r="K227" s="1"/>
      <c r="L227" s="1"/>
      <c r="M227" s="1"/>
      <c r="N227" s="1"/>
      <c r="O227" s="1"/>
    </row>
    <row r="228" spans="11:15" x14ac:dyDescent="0.3">
      <c r="K228" s="1"/>
      <c r="L228" s="1"/>
      <c r="M228" s="1"/>
      <c r="N228" s="1"/>
      <c r="O228" s="1"/>
    </row>
    <row r="229" spans="11:15" x14ac:dyDescent="0.3">
      <c r="K229" s="1"/>
      <c r="L229" s="1"/>
      <c r="M229" s="1"/>
      <c r="N229" s="1"/>
      <c r="O229" s="1"/>
    </row>
    <row r="230" spans="11:15" x14ac:dyDescent="0.3">
      <c r="K230" s="1"/>
      <c r="L230" s="1"/>
      <c r="M230" s="1"/>
      <c r="N230" s="1"/>
      <c r="O230" s="1"/>
    </row>
    <row r="231" spans="11:15" x14ac:dyDescent="0.3">
      <c r="K231" s="1"/>
      <c r="L231" s="1"/>
      <c r="M231" s="1"/>
      <c r="N231" s="1"/>
      <c r="O231" s="1"/>
    </row>
    <row r="232" spans="11:15" x14ac:dyDescent="0.3">
      <c r="K232" s="1"/>
      <c r="L232" s="1"/>
      <c r="M232" s="1"/>
      <c r="N232" s="1"/>
      <c r="O232" s="1"/>
    </row>
    <row r="233" spans="11:15" x14ac:dyDescent="0.3">
      <c r="K233" s="1"/>
      <c r="L233" s="1"/>
      <c r="M233" s="1"/>
      <c r="N233" s="1"/>
      <c r="O233" s="1"/>
    </row>
    <row r="234" spans="11:15" x14ac:dyDescent="0.3">
      <c r="K234" s="1"/>
      <c r="L234" s="1"/>
      <c r="M234" s="1"/>
      <c r="N234" s="1"/>
      <c r="O234" s="1"/>
    </row>
    <row r="235" spans="11:15" x14ac:dyDescent="0.3">
      <c r="K235" s="1"/>
      <c r="L235" s="1"/>
      <c r="M235" s="1"/>
      <c r="N235" s="1"/>
      <c r="O235" s="1"/>
    </row>
    <row r="236" spans="11:15" x14ac:dyDescent="0.3">
      <c r="K236" s="1"/>
      <c r="L236" s="1"/>
      <c r="M236" s="1"/>
      <c r="N236" s="1"/>
      <c r="O236" s="1"/>
    </row>
    <row r="237" spans="11:15" x14ac:dyDescent="0.3">
      <c r="K237" s="1"/>
      <c r="L237" s="1"/>
      <c r="M237" s="1"/>
      <c r="N237" s="1"/>
      <c r="O237" s="1"/>
    </row>
    <row r="238" spans="11:15" x14ac:dyDescent="0.3">
      <c r="K238" s="1"/>
      <c r="L238" s="1"/>
      <c r="M238" s="1"/>
      <c r="N238" s="1"/>
      <c r="O238" s="1"/>
    </row>
    <row r="239" spans="11:15" x14ac:dyDescent="0.3">
      <c r="K239" s="1"/>
      <c r="L239" s="1"/>
      <c r="M239" s="1"/>
      <c r="N239" s="1"/>
      <c r="O239" s="1"/>
    </row>
    <row r="240" spans="11:15" x14ac:dyDescent="0.3">
      <c r="K240" s="1"/>
      <c r="L240" s="1"/>
      <c r="M240" s="1"/>
      <c r="N240" s="1"/>
      <c r="O240" s="1"/>
    </row>
    <row r="241" spans="11:15" x14ac:dyDescent="0.3">
      <c r="K241" s="1"/>
      <c r="L241" s="1"/>
      <c r="M241" s="1"/>
      <c r="N241" s="1"/>
      <c r="O241" s="1"/>
    </row>
    <row r="242" spans="11:15" x14ac:dyDescent="0.3">
      <c r="K242" s="1"/>
      <c r="L242" s="1"/>
      <c r="M242" s="1"/>
      <c r="N242" s="1"/>
      <c r="O242" s="1"/>
    </row>
    <row r="243" spans="11:15" x14ac:dyDescent="0.3">
      <c r="K243" s="1"/>
      <c r="L243" s="1"/>
      <c r="M243" s="1"/>
      <c r="N243" s="1"/>
      <c r="O243" s="1"/>
    </row>
    <row r="244" spans="11:15" x14ac:dyDescent="0.3">
      <c r="K244" s="1"/>
      <c r="L244" s="1"/>
      <c r="M244" s="1"/>
      <c r="N244" s="1"/>
      <c r="O244" s="1"/>
    </row>
    <row r="245" spans="11:15" x14ac:dyDescent="0.3">
      <c r="K245" s="1"/>
      <c r="L245" s="1"/>
      <c r="M245" s="1"/>
      <c r="N245" s="1"/>
      <c r="O245" s="1"/>
    </row>
    <row r="246" spans="11:15" x14ac:dyDescent="0.3">
      <c r="K246" s="1"/>
      <c r="L246" s="1"/>
      <c r="M246" s="1"/>
      <c r="N246" s="1"/>
      <c r="O246" s="1"/>
    </row>
    <row r="247" spans="11:15" x14ac:dyDescent="0.3">
      <c r="K247" s="1"/>
      <c r="L247" s="1"/>
      <c r="M247" s="1"/>
      <c r="N247" s="1"/>
      <c r="O247" s="1"/>
    </row>
    <row r="248" spans="11:15" x14ac:dyDescent="0.3">
      <c r="K248" s="1"/>
      <c r="L248" s="1"/>
      <c r="M248" s="1"/>
      <c r="N248" s="1"/>
      <c r="O248" s="1"/>
    </row>
    <row r="249" spans="11:15" x14ac:dyDescent="0.3">
      <c r="K249" s="1"/>
      <c r="L249" s="1"/>
      <c r="M249" s="1"/>
      <c r="N249" s="1"/>
      <c r="O249" s="1"/>
    </row>
    <row r="250" spans="11:15" x14ac:dyDescent="0.3">
      <c r="K250" s="1"/>
      <c r="L250" s="1"/>
      <c r="M250" s="1"/>
      <c r="N250" s="1"/>
      <c r="O250" s="1"/>
    </row>
    <row r="251" spans="11:15" x14ac:dyDescent="0.3">
      <c r="K251" s="1"/>
      <c r="L251" s="1"/>
      <c r="M251" s="1"/>
      <c r="N251" s="1"/>
      <c r="O251" s="1"/>
    </row>
    <row r="252" spans="11:15" x14ac:dyDescent="0.3">
      <c r="K252" s="1"/>
      <c r="L252" s="1"/>
      <c r="M252" s="1"/>
      <c r="N252" s="1"/>
      <c r="O252" s="1"/>
    </row>
    <row r="253" spans="11:15" x14ac:dyDescent="0.3">
      <c r="K253" s="1"/>
      <c r="L253" s="1"/>
      <c r="M253" s="1"/>
      <c r="N253" s="1"/>
      <c r="O253" s="1"/>
    </row>
    <row r="254" spans="11:15" x14ac:dyDescent="0.3">
      <c r="K254" s="1"/>
      <c r="L254" s="1"/>
      <c r="M254" s="1"/>
      <c r="N254" s="1"/>
      <c r="O254" s="1"/>
    </row>
    <row r="255" spans="11:15" x14ac:dyDescent="0.3">
      <c r="K255" s="1"/>
      <c r="L255" s="1"/>
      <c r="M255" s="1"/>
      <c r="N255" s="1"/>
      <c r="O255" s="1"/>
    </row>
    <row r="256" spans="11:15" x14ac:dyDescent="0.3">
      <c r="K256" s="1"/>
      <c r="L256" s="1"/>
      <c r="M256" s="1"/>
      <c r="N256" s="1"/>
      <c r="O256" s="1"/>
    </row>
    <row r="257" spans="11:15" x14ac:dyDescent="0.3">
      <c r="K257" s="1"/>
      <c r="L257" s="1"/>
      <c r="M257" s="1"/>
      <c r="N257" s="1"/>
      <c r="O257" s="1"/>
    </row>
    <row r="258" spans="11:15" x14ac:dyDescent="0.3">
      <c r="K258" s="1"/>
      <c r="L258" s="1"/>
      <c r="M258" s="1"/>
      <c r="N258" s="1"/>
      <c r="O258" s="1"/>
    </row>
    <row r="259" spans="11:15" x14ac:dyDescent="0.3">
      <c r="K259" s="1"/>
      <c r="L259" s="1"/>
      <c r="M259" s="1"/>
      <c r="N259" s="1"/>
      <c r="O259" s="1"/>
    </row>
    <row r="260" spans="11:15" x14ac:dyDescent="0.3">
      <c r="K260" s="1"/>
      <c r="L260" s="1"/>
      <c r="M260" s="1"/>
      <c r="N260" s="1"/>
      <c r="O260" s="1"/>
    </row>
    <row r="261" spans="11:15" x14ac:dyDescent="0.3">
      <c r="K261" s="1"/>
      <c r="L261" s="1"/>
      <c r="M261" s="1"/>
      <c r="N261" s="1"/>
      <c r="O261" s="1"/>
    </row>
    <row r="262" spans="11:15" x14ac:dyDescent="0.3">
      <c r="K262" s="1"/>
      <c r="L262" s="1"/>
      <c r="M262" s="1"/>
      <c r="N262" s="1"/>
      <c r="O262" s="1"/>
    </row>
    <row r="263" spans="11:15" x14ac:dyDescent="0.3">
      <c r="K263" s="1"/>
      <c r="L263" s="1"/>
      <c r="M263" s="1"/>
      <c r="N263" s="1"/>
      <c r="O263" s="1"/>
    </row>
    <row r="264" spans="11:15" x14ac:dyDescent="0.3">
      <c r="K264" s="1"/>
      <c r="L264" s="1"/>
      <c r="M264" s="1"/>
      <c r="N264" s="1"/>
      <c r="O264" s="1"/>
    </row>
    <row r="265" spans="11:15" x14ac:dyDescent="0.3">
      <c r="K265" s="1"/>
      <c r="L265" s="1"/>
      <c r="M265" s="1"/>
      <c r="N265" s="1"/>
      <c r="O265" s="1"/>
    </row>
    <row r="266" spans="11:15" x14ac:dyDescent="0.3">
      <c r="K266" s="1"/>
      <c r="L266" s="1"/>
      <c r="M266" s="1"/>
      <c r="N266" s="1"/>
      <c r="O266" s="1"/>
    </row>
    <row r="267" spans="11:15" x14ac:dyDescent="0.3">
      <c r="K267" s="1"/>
      <c r="L267" s="1"/>
      <c r="M267" s="1"/>
      <c r="N267" s="1"/>
      <c r="O267" s="1"/>
    </row>
    <row r="268" spans="11:15" x14ac:dyDescent="0.3">
      <c r="K268" s="1"/>
      <c r="L268" s="1"/>
      <c r="M268" s="1"/>
      <c r="N268" s="1"/>
      <c r="O268" s="1"/>
    </row>
    <row r="269" spans="11:15" x14ac:dyDescent="0.3">
      <c r="K269" s="1"/>
      <c r="L269" s="1"/>
      <c r="M269" s="1"/>
      <c r="N269" s="1"/>
      <c r="O269" s="1"/>
    </row>
    <row r="270" spans="11:15" x14ac:dyDescent="0.3">
      <c r="K270" s="1"/>
      <c r="L270" s="1"/>
      <c r="M270" s="1"/>
      <c r="N270" s="1"/>
      <c r="O270" s="1"/>
    </row>
    <row r="271" spans="11:15" x14ac:dyDescent="0.3">
      <c r="K271" s="1"/>
      <c r="L271" s="1"/>
      <c r="M271" s="1"/>
      <c r="N271" s="1"/>
      <c r="O271" s="1"/>
    </row>
    <row r="272" spans="11:15" x14ac:dyDescent="0.3">
      <c r="K272" s="1"/>
      <c r="L272" s="1"/>
      <c r="M272" s="1"/>
      <c r="N272" s="1"/>
      <c r="O272" s="1"/>
    </row>
    <row r="273" spans="11:15" x14ac:dyDescent="0.3">
      <c r="K273" s="1"/>
      <c r="L273" s="1"/>
      <c r="M273" s="1"/>
      <c r="N273" s="1"/>
      <c r="O273" s="1"/>
    </row>
    <row r="274" spans="11:15" x14ac:dyDescent="0.3">
      <c r="K274" s="1"/>
      <c r="L274" s="1"/>
      <c r="M274" s="1"/>
      <c r="N274" s="1"/>
      <c r="O274" s="1"/>
    </row>
    <row r="275" spans="11:15" x14ac:dyDescent="0.3">
      <c r="K275" s="1"/>
      <c r="L275" s="1"/>
      <c r="M275" s="1"/>
      <c r="N275" s="1"/>
      <c r="O275" s="1"/>
    </row>
    <row r="276" spans="11:15" x14ac:dyDescent="0.3">
      <c r="K276" s="1"/>
      <c r="L276" s="1"/>
      <c r="M276" s="1"/>
      <c r="N276" s="1"/>
      <c r="O276" s="1"/>
    </row>
    <row r="277" spans="11:15" x14ac:dyDescent="0.3">
      <c r="K277" s="1"/>
      <c r="L277" s="1"/>
      <c r="M277" s="1"/>
      <c r="N277" s="1"/>
      <c r="O277" s="1"/>
    </row>
    <row r="278" spans="11:15" x14ac:dyDescent="0.3">
      <c r="K278" s="1"/>
      <c r="L278" s="1"/>
      <c r="M278" s="1"/>
      <c r="N278" s="1"/>
      <c r="O278" s="1"/>
    </row>
    <row r="279" spans="11:15" x14ac:dyDescent="0.3">
      <c r="K279" s="1"/>
      <c r="L279" s="1"/>
      <c r="M279" s="1"/>
      <c r="N279" s="1"/>
      <c r="O279" s="1"/>
    </row>
    <row r="280" spans="11:15" x14ac:dyDescent="0.3">
      <c r="K280" s="1"/>
      <c r="L280" s="1"/>
      <c r="M280" s="1"/>
      <c r="N280" s="1"/>
      <c r="O280" s="1"/>
    </row>
    <row r="281" spans="11:15" x14ac:dyDescent="0.3">
      <c r="K281" s="1"/>
      <c r="L281" s="1"/>
      <c r="M281" s="1"/>
      <c r="N281" s="1"/>
      <c r="O281" s="1"/>
    </row>
    <row r="282" spans="11:15" x14ac:dyDescent="0.3">
      <c r="K282" s="1"/>
      <c r="L282" s="1"/>
      <c r="M282" s="1"/>
      <c r="N282" s="1"/>
      <c r="O282" s="1"/>
    </row>
    <row r="283" spans="11:15" x14ac:dyDescent="0.3">
      <c r="K283" s="1"/>
      <c r="L283" s="1"/>
      <c r="M283" s="1"/>
      <c r="N283" s="1"/>
      <c r="O283" s="1"/>
    </row>
    <row r="284" spans="11:15" x14ac:dyDescent="0.3">
      <c r="K284" s="1"/>
      <c r="L284" s="1"/>
      <c r="M284" s="1"/>
      <c r="N284" s="1"/>
      <c r="O284" s="1"/>
    </row>
    <row r="285" spans="11:15" x14ac:dyDescent="0.3">
      <c r="K285" s="1"/>
      <c r="L285" s="1"/>
      <c r="M285" s="1"/>
      <c r="N285" s="1"/>
      <c r="O285" s="1"/>
    </row>
    <row r="286" spans="11:15" x14ac:dyDescent="0.3">
      <c r="K286" s="1"/>
      <c r="L286" s="1"/>
      <c r="M286" s="1"/>
      <c r="N286" s="1"/>
      <c r="O286" s="1"/>
    </row>
    <row r="287" spans="11:15" x14ac:dyDescent="0.3">
      <c r="K287" s="1"/>
      <c r="L287" s="1"/>
      <c r="M287" s="1"/>
      <c r="N287" s="1"/>
      <c r="O287" s="1"/>
    </row>
    <row r="288" spans="11:15" x14ac:dyDescent="0.3">
      <c r="K288" s="1"/>
      <c r="L288" s="1"/>
      <c r="M288" s="1"/>
      <c r="N288" s="1"/>
      <c r="O288" s="1"/>
    </row>
    <row r="289" spans="11:15" x14ac:dyDescent="0.3">
      <c r="K289" s="1"/>
      <c r="L289" s="1"/>
      <c r="M289" s="1"/>
      <c r="N289" s="1"/>
      <c r="O289" s="1"/>
    </row>
    <row r="290" spans="11:15" x14ac:dyDescent="0.3">
      <c r="K290" s="1"/>
      <c r="L290" s="1"/>
      <c r="M290" s="1"/>
      <c r="N290" s="1"/>
      <c r="O290" s="1"/>
    </row>
    <row r="291" spans="11:15" x14ac:dyDescent="0.3">
      <c r="K291" s="1"/>
      <c r="L291" s="1"/>
      <c r="M291" s="1"/>
      <c r="N291" s="1"/>
      <c r="O291" s="1"/>
    </row>
    <row r="292" spans="11:15" x14ac:dyDescent="0.3">
      <c r="K292" s="1"/>
      <c r="L292" s="1"/>
      <c r="M292" s="1"/>
      <c r="N292" s="1"/>
      <c r="O292" s="1"/>
    </row>
    <row r="293" spans="11:15" x14ac:dyDescent="0.3">
      <c r="K293" s="1"/>
      <c r="L293" s="1"/>
      <c r="M293" s="1"/>
      <c r="N293" s="1"/>
      <c r="O293" s="1"/>
    </row>
    <row r="294" spans="11:15" x14ac:dyDescent="0.3">
      <c r="K294" s="1"/>
      <c r="L294" s="1"/>
      <c r="M294" s="1"/>
      <c r="N294" s="1"/>
      <c r="O294" s="1"/>
    </row>
    <row r="295" spans="11:15" x14ac:dyDescent="0.3">
      <c r="K295" s="1"/>
      <c r="L295" s="1"/>
      <c r="M295" s="1"/>
      <c r="N295" s="1"/>
      <c r="O295" s="1"/>
    </row>
    <row r="296" spans="11:15" x14ac:dyDescent="0.3">
      <c r="K296" s="1"/>
      <c r="L296" s="1"/>
      <c r="M296" s="1"/>
      <c r="N296" s="1"/>
      <c r="O296" s="1"/>
    </row>
    <row r="297" spans="11:15" x14ac:dyDescent="0.3">
      <c r="K297" s="1"/>
      <c r="L297" s="1"/>
      <c r="M297" s="1"/>
      <c r="N297" s="1"/>
      <c r="O297" s="1"/>
    </row>
    <row r="298" spans="11:15" x14ac:dyDescent="0.3">
      <c r="K298" s="1"/>
      <c r="L298" s="1"/>
      <c r="M298" s="1"/>
      <c r="N298" s="1"/>
      <c r="O298" s="1"/>
    </row>
    <row r="299" spans="11:15" x14ac:dyDescent="0.3">
      <c r="K299" s="1"/>
      <c r="L299" s="1"/>
      <c r="M299" s="1"/>
      <c r="N299" s="1"/>
      <c r="O299" s="1"/>
    </row>
    <row r="300" spans="11:15" x14ac:dyDescent="0.3">
      <c r="K300" s="1"/>
      <c r="L300" s="1"/>
      <c r="M300" s="1"/>
      <c r="N300" s="1"/>
      <c r="O300" s="1"/>
    </row>
    <row r="301" spans="11:15" x14ac:dyDescent="0.3">
      <c r="K301" s="1"/>
      <c r="L301" s="1"/>
      <c r="M301" s="1"/>
      <c r="N301" s="1"/>
      <c r="O301" s="1"/>
    </row>
    <row r="302" spans="11:15" x14ac:dyDescent="0.3">
      <c r="K302" s="1"/>
      <c r="L302" s="1"/>
      <c r="M302" s="1"/>
      <c r="N302" s="1"/>
      <c r="O302" s="1"/>
    </row>
    <row r="303" spans="11:15" x14ac:dyDescent="0.3">
      <c r="K303" s="1"/>
      <c r="L303" s="1"/>
      <c r="M303" s="1"/>
      <c r="N303" s="1"/>
      <c r="O303" s="1"/>
    </row>
    <row r="304" spans="11:15" x14ac:dyDescent="0.3">
      <c r="K304" s="1"/>
      <c r="L304" s="1"/>
      <c r="M304" s="1"/>
      <c r="N304" s="1"/>
      <c r="O304" s="1"/>
    </row>
    <row r="305" spans="11:15" x14ac:dyDescent="0.3">
      <c r="K305" s="1"/>
      <c r="L305" s="1"/>
      <c r="M305" s="1"/>
      <c r="N305" s="1"/>
      <c r="O305" s="1"/>
    </row>
    <row r="306" spans="11:15" x14ac:dyDescent="0.3">
      <c r="K306" s="1"/>
      <c r="L306" s="1"/>
      <c r="M306" s="1"/>
      <c r="N306" s="1"/>
      <c r="O306" s="1"/>
    </row>
    <row r="307" spans="11:15" x14ac:dyDescent="0.3">
      <c r="K307" s="1"/>
      <c r="L307" s="1"/>
      <c r="M307" s="1"/>
      <c r="N307" s="1"/>
      <c r="O307" s="1"/>
    </row>
    <row r="308" spans="11:15" x14ac:dyDescent="0.3">
      <c r="K308" s="1"/>
      <c r="L308" s="1"/>
      <c r="M308" s="1"/>
      <c r="N308" s="1"/>
      <c r="O308" s="1"/>
    </row>
    <row r="309" spans="11:15" x14ac:dyDescent="0.3">
      <c r="K309" s="1"/>
      <c r="L309" s="1"/>
      <c r="M309" s="1"/>
      <c r="N309" s="1"/>
      <c r="O309" s="1"/>
    </row>
    <row r="310" spans="11:15" x14ac:dyDescent="0.3">
      <c r="K310" s="1"/>
      <c r="L310" s="1"/>
      <c r="M310" s="1"/>
      <c r="N310" s="1"/>
      <c r="O310" s="1"/>
    </row>
    <row r="311" spans="11:15" x14ac:dyDescent="0.3">
      <c r="K311" s="1"/>
      <c r="L311" s="1"/>
      <c r="M311" s="1"/>
      <c r="N311" s="1"/>
      <c r="O311" s="1"/>
    </row>
    <row r="312" spans="11:15" x14ac:dyDescent="0.3">
      <c r="K312" s="1"/>
      <c r="L312" s="1"/>
      <c r="M312" s="1"/>
      <c r="N312" s="1"/>
      <c r="O312" s="1"/>
    </row>
    <row r="313" spans="11:15" x14ac:dyDescent="0.3">
      <c r="K313" s="1"/>
      <c r="L313" s="1"/>
      <c r="M313" s="1"/>
      <c r="N313" s="1"/>
      <c r="O313" s="1"/>
    </row>
    <row r="314" spans="11:15" x14ac:dyDescent="0.3">
      <c r="K314" s="1"/>
      <c r="L314" s="1"/>
      <c r="M314" s="1"/>
      <c r="N314" s="1"/>
      <c r="O314" s="1"/>
    </row>
    <row r="315" spans="11:15" x14ac:dyDescent="0.3">
      <c r="K315" s="1"/>
      <c r="L315" s="1"/>
      <c r="M315" s="1"/>
      <c r="N315" s="1"/>
      <c r="O315" s="1"/>
    </row>
    <row r="316" spans="11:15" x14ac:dyDescent="0.3">
      <c r="K316" s="1"/>
      <c r="L316" s="1"/>
      <c r="M316" s="1"/>
      <c r="N316" s="1"/>
      <c r="O316" s="1"/>
    </row>
    <row r="317" spans="11:15" x14ac:dyDescent="0.3">
      <c r="K317" s="1"/>
      <c r="L317" s="1"/>
      <c r="M317" s="1"/>
      <c r="N317" s="1"/>
      <c r="O317" s="1"/>
    </row>
    <row r="318" spans="11:15" x14ac:dyDescent="0.3">
      <c r="K318" s="1"/>
      <c r="L318" s="1"/>
      <c r="M318" s="1"/>
      <c r="N318" s="1"/>
      <c r="O318" s="1"/>
    </row>
    <row r="319" spans="11:15" x14ac:dyDescent="0.3">
      <c r="K319" s="1"/>
      <c r="L319" s="1"/>
      <c r="M319" s="1"/>
      <c r="N319" s="1"/>
      <c r="O319" s="1"/>
    </row>
    <row r="320" spans="11:15" x14ac:dyDescent="0.3">
      <c r="K320" s="1"/>
      <c r="L320" s="1"/>
      <c r="M320" s="1"/>
      <c r="N320" s="1"/>
      <c r="O320" s="1"/>
    </row>
    <row r="321" spans="11:15" x14ac:dyDescent="0.3">
      <c r="K321" s="1"/>
      <c r="L321" s="1"/>
      <c r="M321" s="1"/>
      <c r="N321" s="1"/>
      <c r="O321" s="1"/>
    </row>
    <row r="322" spans="11:15" x14ac:dyDescent="0.3">
      <c r="K322" s="1"/>
      <c r="L322" s="1"/>
      <c r="M322" s="1"/>
      <c r="N322" s="1"/>
      <c r="O322" s="1"/>
    </row>
    <row r="323" spans="11:15" x14ac:dyDescent="0.3">
      <c r="K323" s="1"/>
      <c r="L323" s="1"/>
      <c r="M323" s="1"/>
      <c r="N323" s="1"/>
      <c r="O323" s="1"/>
    </row>
    <row r="324" spans="11:15" x14ac:dyDescent="0.3">
      <c r="K324" s="1"/>
      <c r="L324" s="1"/>
      <c r="M324" s="1"/>
      <c r="N324" s="1"/>
      <c r="O324" s="1"/>
    </row>
    <row r="325" spans="11:15" x14ac:dyDescent="0.3">
      <c r="K325" s="1"/>
      <c r="L325" s="1"/>
      <c r="M325" s="1"/>
      <c r="N325" s="1"/>
      <c r="O325" s="1"/>
    </row>
    <row r="326" spans="11:15" x14ac:dyDescent="0.3">
      <c r="K326" s="1"/>
      <c r="L326" s="1"/>
      <c r="M326" s="1"/>
      <c r="N326" s="1"/>
      <c r="O326" s="1"/>
    </row>
    <row r="327" spans="11:15" x14ac:dyDescent="0.3">
      <c r="K327" s="1"/>
      <c r="L327" s="1"/>
      <c r="M327" s="1"/>
      <c r="N327" s="1"/>
      <c r="O327" s="1"/>
    </row>
    <row r="328" spans="11:15" x14ac:dyDescent="0.3">
      <c r="K328" s="1"/>
      <c r="L328" s="1"/>
      <c r="M328" s="1"/>
      <c r="N328" s="1"/>
      <c r="O328" s="1"/>
    </row>
    <row r="329" spans="11:15" x14ac:dyDescent="0.3">
      <c r="K329" s="1"/>
      <c r="L329" s="1"/>
      <c r="M329" s="1"/>
      <c r="N329" s="1"/>
      <c r="O329" s="1"/>
    </row>
    <row r="330" spans="11:15" x14ac:dyDescent="0.3">
      <c r="K330" s="1"/>
      <c r="L330" s="1"/>
      <c r="M330" s="1"/>
      <c r="N330" s="1"/>
      <c r="O330" s="1"/>
    </row>
    <row r="331" spans="11:15" x14ac:dyDescent="0.3">
      <c r="K331" s="1"/>
      <c r="L331" s="1"/>
      <c r="M331" s="1"/>
      <c r="N331" s="1"/>
      <c r="O331" s="1"/>
    </row>
    <row r="332" spans="11:15" x14ac:dyDescent="0.3">
      <c r="K332" s="1"/>
      <c r="L332" s="1"/>
      <c r="M332" s="1"/>
      <c r="N332" s="1"/>
      <c r="O332" s="1"/>
    </row>
    <row r="333" spans="11:15" x14ac:dyDescent="0.3">
      <c r="K333" s="1"/>
      <c r="L333" s="1"/>
      <c r="M333" s="1"/>
      <c r="N333" s="1"/>
      <c r="O333" s="1"/>
    </row>
    <row r="334" spans="11:15" x14ac:dyDescent="0.3">
      <c r="K334" s="1"/>
      <c r="L334" s="1"/>
      <c r="M334" s="1"/>
      <c r="N334" s="1"/>
      <c r="O334" s="1"/>
    </row>
    <row r="335" spans="11:15" x14ac:dyDescent="0.3">
      <c r="K335" s="1"/>
      <c r="L335" s="1"/>
      <c r="M335" s="1"/>
      <c r="N335" s="1"/>
      <c r="O335" s="1"/>
    </row>
    <row r="336" spans="11:15" x14ac:dyDescent="0.3">
      <c r="K336" s="1"/>
      <c r="L336" s="1"/>
      <c r="M336" s="1"/>
      <c r="N336" s="1"/>
      <c r="O336" s="1"/>
    </row>
    <row r="337" spans="11:15" x14ac:dyDescent="0.3">
      <c r="K337" s="1"/>
      <c r="L337" s="1"/>
      <c r="M337" s="1"/>
      <c r="N337" s="1"/>
      <c r="O337" s="1"/>
    </row>
    <row r="338" spans="11:15" x14ac:dyDescent="0.3">
      <c r="K338" s="1"/>
      <c r="L338" s="1"/>
      <c r="M338" s="1"/>
      <c r="N338" s="1"/>
      <c r="O338" s="1"/>
    </row>
    <row r="339" spans="11:15" x14ac:dyDescent="0.3">
      <c r="K339" s="1"/>
      <c r="L339" s="1"/>
      <c r="M339" s="1"/>
      <c r="N339" s="1"/>
      <c r="O339" s="1"/>
    </row>
    <row r="340" spans="11:15" x14ac:dyDescent="0.3">
      <c r="K340" s="1"/>
      <c r="L340" s="1"/>
      <c r="M340" s="1"/>
      <c r="N340" s="1"/>
      <c r="O340" s="1"/>
    </row>
    <row r="341" spans="11:15" x14ac:dyDescent="0.3">
      <c r="K341" s="1"/>
      <c r="L341" s="1"/>
      <c r="M341" s="1"/>
      <c r="N341" s="1"/>
      <c r="O341" s="1"/>
    </row>
    <row r="342" spans="11:15" x14ac:dyDescent="0.3">
      <c r="K342" s="1"/>
      <c r="L342" s="1"/>
      <c r="M342" s="1"/>
      <c r="N342" s="1"/>
      <c r="O342" s="1"/>
    </row>
    <row r="343" spans="11:15" x14ac:dyDescent="0.3">
      <c r="K343" s="1"/>
      <c r="L343" s="1"/>
      <c r="M343" s="1"/>
      <c r="N343" s="1"/>
      <c r="O343" s="1"/>
    </row>
    <row r="344" spans="11:15" x14ac:dyDescent="0.3">
      <c r="K344" s="1"/>
      <c r="L344" s="1"/>
      <c r="M344" s="1"/>
      <c r="N344" s="1"/>
      <c r="O344" s="1"/>
    </row>
    <row r="345" spans="11:15" x14ac:dyDescent="0.3">
      <c r="K345" s="1"/>
      <c r="L345" s="1"/>
      <c r="M345" s="1"/>
      <c r="N345" s="1"/>
      <c r="O345" s="1"/>
    </row>
    <row r="346" spans="11:15" x14ac:dyDescent="0.3">
      <c r="K346" s="1"/>
      <c r="L346" s="1"/>
      <c r="M346" s="1"/>
      <c r="N346" s="1"/>
      <c r="O346" s="1"/>
    </row>
    <row r="347" spans="11:15" x14ac:dyDescent="0.3">
      <c r="K347" s="1"/>
      <c r="L347" s="1"/>
      <c r="M347" s="1"/>
      <c r="N347" s="1"/>
      <c r="O347" s="1"/>
    </row>
    <row r="348" spans="11:15" x14ac:dyDescent="0.3">
      <c r="K348" s="1"/>
      <c r="L348" s="1"/>
      <c r="M348" s="1"/>
      <c r="N348" s="1"/>
      <c r="O348" s="1"/>
    </row>
    <row r="349" spans="11:15" x14ac:dyDescent="0.3">
      <c r="K349" s="1"/>
      <c r="L349" s="1"/>
      <c r="M349" s="1"/>
      <c r="N349" s="1"/>
      <c r="O349" s="1"/>
    </row>
    <row r="350" spans="11:15" x14ac:dyDescent="0.3">
      <c r="K350" s="1"/>
      <c r="L350" s="1"/>
      <c r="M350" s="1"/>
      <c r="N350" s="1"/>
      <c r="O350" s="1"/>
    </row>
    <row r="351" spans="11:15" x14ac:dyDescent="0.3">
      <c r="K351" s="1"/>
      <c r="L351" s="1"/>
      <c r="M351" s="1"/>
      <c r="N351" s="1"/>
      <c r="O351" s="1"/>
    </row>
    <row r="352" spans="11:15" x14ac:dyDescent="0.3">
      <c r="K352" s="1"/>
      <c r="L352" s="1"/>
      <c r="M352" s="1"/>
      <c r="N352" s="1"/>
      <c r="O352" s="1"/>
    </row>
    <row r="353" spans="11:15" x14ac:dyDescent="0.3">
      <c r="K353" s="1"/>
      <c r="L353" s="1"/>
      <c r="M353" s="1"/>
      <c r="N353" s="1"/>
      <c r="O353" s="1"/>
    </row>
    <row r="354" spans="11:15" x14ac:dyDescent="0.3">
      <c r="K354" s="1"/>
      <c r="L354" s="1"/>
      <c r="M354" s="1"/>
      <c r="N354" s="1"/>
      <c r="O354" s="1"/>
    </row>
    <row r="355" spans="11:15" x14ac:dyDescent="0.3">
      <c r="K355" s="1"/>
      <c r="L355" s="1"/>
      <c r="M355" s="1"/>
      <c r="N355" s="1"/>
      <c r="O355" s="1"/>
    </row>
    <row r="356" spans="11:15" x14ac:dyDescent="0.3">
      <c r="K356" s="1"/>
      <c r="L356" s="1"/>
      <c r="M356" s="1"/>
      <c r="N356" s="1"/>
      <c r="O356" s="1"/>
    </row>
    <row r="357" spans="11:15" x14ac:dyDescent="0.3">
      <c r="K357" s="1"/>
      <c r="L357" s="1"/>
      <c r="M357" s="1"/>
      <c r="N357" s="1"/>
      <c r="O357" s="1"/>
    </row>
    <row r="358" spans="11:15" x14ac:dyDescent="0.3">
      <c r="K358" s="1"/>
      <c r="L358" s="1"/>
      <c r="M358" s="1"/>
      <c r="N358" s="1"/>
      <c r="O358" s="1"/>
    </row>
    <row r="359" spans="11:15" x14ac:dyDescent="0.3">
      <c r="K359" s="1"/>
      <c r="L359" s="1"/>
      <c r="M359" s="1"/>
      <c r="N359" s="1"/>
      <c r="O359" s="1"/>
    </row>
    <row r="360" spans="11:15" x14ac:dyDescent="0.3">
      <c r="K360" s="1"/>
      <c r="L360" s="1"/>
      <c r="M360" s="1"/>
      <c r="N360" s="1"/>
      <c r="O360" s="1"/>
    </row>
    <row r="361" spans="11:15" x14ac:dyDescent="0.3">
      <c r="K361" s="1"/>
      <c r="L361" s="1"/>
      <c r="M361" s="1"/>
      <c r="N361" s="1"/>
      <c r="O361" s="1"/>
    </row>
    <row r="362" spans="11:15" x14ac:dyDescent="0.3">
      <c r="K362" s="1"/>
      <c r="L362" s="1"/>
      <c r="M362" s="1"/>
      <c r="N362" s="1"/>
      <c r="O362" s="1"/>
    </row>
    <row r="363" spans="11:15" x14ac:dyDescent="0.3">
      <c r="K363" s="1"/>
      <c r="L363" s="1"/>
      <c r="M363" s="1"/>
      <c r="N363" s="1"/>
      <c r="O363" s="1"/>
    </row>
    <row r="364" spans="11:15" x14ac:dyDescent="0.3">
      <c r="K364" s="1"/>
      <c r="L364" s="1"/>
      <c r="M364" s="1"/>
      <c r="N364" s="1"/>
      <c r="O364" s="1"/>
    </row>
    <row r="365" spans="11:15" x14ac:dyDescent="0.3">
      <c r="K365" s="1"/>
      <c r="L365" s="1"/>
      <c r="M365" s="1"/>
      <c r="N365" s="1"/>
      <c r="O365" s="1"/>
    </row>
    <row r="366" spans="11:15" x14ac:dyDescent="0.3">
      <c r="K366" s="1"/>
      <c r="L366" s="1"/>
      <c r="M366" s="1"/>
      <c r="N366" s="1"/>
      <c r="O366" s="1"/>
    </row>
    <row r="367" spans="11:15" x14ac:dyDescent="0.3">
      <c r="K367" s="1"/>
      <c r="L367" s="1"/>
      <c r="M367" s="1"/>
      <c r="N367" s="1"/>
      <c r="O367" s="1"/>
    </row>
    <row r="368" spans="11:15" x14ac:dyDescent="0.3">
      <c r="K368" s="1"/>
      <c r="L368" s="1"/>
      <c r="M368" s="1"/>
      <c r="N368" s="1"/>
      <c r="O368" s="1"/>
    </row>
    <row r="369" spans="11:15" x14ac:dyDescent="0.3">
      <c r="K369" s="1"/>
      <c r="L369" s="1"/>
      <c r="M369" s="1"/>
      <c r="N369" s="1"/>
      <c r="O369" s="1"/>
    </row>
    <row r="370" spans="11:15" x14ac:dyDescent="0.3">
      <c r="K370" s="1"/>
      <c r="L370" s="1"/>
      <c r="M370" s="1"/>
      <c r="N370" s="1"/>
      <c r="O370" s="1"/>
    </row>
    <row r="371" spans="11:15" x14ac:dyDescent="0.3">
      <c r="K371" s="1"/>
      <c r="L371" s="1"/>
      <c r="M371" s="1"/>
      <c r="N371" s="1"/>
      <c r="O371" s="1"/>
    </row>
    <row r="372" spans="11:15" x14ac:dyDescent="0.3">
      <c r="K372" s="1"/>
      <c r="L372" s="1"/>
      <c r="M372" s="1"/>
      <c r="N372" s="1"/>
      <c r="O372" s="1"/>
    </row>
    <row r="373" spans="11:15" x14ac:dyDescent="0.3">
      <c r="K373" s="1"/>
      <c r="L373" s="1"/>
      <c r="M373" s="1"/>
      <c r="N373" s="1"/>
      <c r="O373" s="1"/>
    </row>
    <row r="374" spans="11:15" x14ac:dyDescent="0.3">
      <c r="K374" s="1"/>
      <c r="L374" s="1"/>
      <c r="M374" s="1"/>
      <c r="N374" s="1"/>
      <c r="O374" s="1"/>
    </row>
    <row r="375" spans="11:15" x14ac:dyDescent="0.3">
      <c r="K375" s="1"/>
      <c r="L375" s="1"/>
      <c r="M375" s="1"/>
      <c r="N375" s="1"/>
      <c r="O375" s="1"/>
    </row>
    <row r="376" spans="11:15" x14ac:dyDescent="0.3">
      <c r="K376" s="1"/>
      <c r="L376" s="1"/>
      <c r="M376" s="1"/>
      <c r="N376" s="1"/>
      <c r="O376" s="1"/>
    </row>
    <row r="377" spans="11:15" x14ac:dyDescent="0.3">
      <c r="K377" s="1"/>
      <c r="L377" s="1"/>
      <c r="M377" s="1"/>
      <c r="N377" s="1"/>
      <c r="O377" s="1"/>
    </row>
    <row r="378" spans="11:15" x14ac:dyDescent="0.3">
      <c r="K378" s="1"/>
      <c r="L378" s="1"/>
      <c r="M378" s="1"/>
      <c r="N378" s="1"/>
      <c r="O378" s="1"/>
    </row>
    <row r="379" spans="11:15" x14ac:dyDescent="0.3">
      <c r="K379" s="1"/>
      <c r="L379" s="1"/>
      <c r="M379" s="1"/>
      <c r="N379" s="1"/>
      <c r="O379" s="1"/>
    </row>
    <row r="380" spans="11:15" x14ac:dyDescent="0.3">
      <c r="K380" s="1"/>
      <c r="L380" s="1"/>
      <c r="M380" s="1"/>
      <c r="N380" s="1"/>
      <c r="O380" s="1"/>
    </row>
    <row r="381" spans="11:15" x14ac:dyDescent="0.3">
      <c r="K381" s="1"/>
      <c r="L381" s="1"/>
      <c r="M381" s="1"/>
      <c r="N381" s="1"/>
      <c r="O381" s="1"/>
    </row>
    <row r="382" spans="11:15" x14ac:dyDescent="0.3">
      <c r="K382" s="1"/>
      <c r="L382" s="1"/>
      <c r="M382" s="1"/>
      <c r="N382" s="1"/>
      <c r="O382" s="1"/>
    </row>
    <row r="383" spans="11:15" x14ac:dyDescent="0.3">
      <c r="K383" s="1"/>
      <c r="L383" s="1"/>
      <c r="M383" s="1"/>
      <c r="N383" s="1"/>
      <c r="O383" s="1"/>
    </row>
    <row r="384" spans="11:15" x14ac:dyDescent="0.3">
      <c r="K384" s="1"/>
      <c r="L384" s="1"/>
      <c r="M384" s="1"/>
      <c r="N384" s="1"/>
      <c r="O384" s="1"/>
    </row>
    <row r="385" spans="11:15" x14ac:dyDescent="0.3">
      <c r="K385" s="1"/>
      <c r="L385" s="1"/>
      <c r="M385" s="1"/>
      <c r="N385" s="1"/>
      <c r="O385" s="1"/>
    </row>
    <row r="386" spans="11:15" x14ac:dyDescent="0.3">
      <c r="K386" s="1"/>
      <c r="L386" s="1"/>
      <c r="M386" s="1"/>
      <c r="N386" s="1"/>
      <c r="O386" s="1"/>
    </row>
    <row r="387" spans="11:15" x14ac:dyDescent="0.3">
      <c r="K387" s="1"/>
      <c r="L387" s="1"/>
      <c r="M387" s="1"/>
      <c r="N387" s="1"/>
      <c r="O387" s="1"/>
    </row>
    <row r="388" spans="11:15" x14ac:dyDescent="0.3">
      <c r="K388" s="1"/>
      <c r="L388" s="1"/>
      <c r="M388" s="1"/>
      <c r="N388" s="1"/>
      <c r="O388" s="1"/>
    </row>
    <row r="389" spans="11:15" x14ac:dyDescent="0.3">
      <c r="K389" s="1"/>
      <c r="L389" s="1"/>
      <c r="M389" s="1"/>
      <c r="N389" s="1"/>
      <c r="O389" s="1"/>
    </row>
    <row r="390" spans="11:15" x14ac:dyDescent="0.3">
      <c r="K390" s="1"/>
      <c r="L390" s="1"/>
      <c r="M390" s="1"/>
      <c r="N390" s="1"/>
      <c r="O390" s="1"/>
    </row>
    <row r="391" spans="11:15" x14ac:dyDescent="0.3">
      <c r="K391" s="1"/>
      <c r="L391" s="1"/>
      <c r="M391" s="1"/>
      <c r="N391" s="1"/>
      <c r="O391" s="1"/>
    </row>
    <row r="392" spans="11:15" x14ac:dyDescent="0.3">
      <c r="K392" s="1"/>
      <c r="L392" s="1"/>
      <c r="M392" s="1"/>
      <c r="N392" s="1"/>
      <c r="O392" s="1"/>
    </row>
    <row r="393" spans="11:15" x14ac:dyDescent="0.3">
      <c r="K393" s="1"/>
      <c r="L393" s="1"/>
      <c r="M393" s="1"/>
      <c r="N393" s="1"/>
      <c r="O393" s="1"/>
    </row>
    <row r="394" spans="11:15" x14ac:dyDescent="0.3">
      <c r="K394" s="1"/>
      <c r="L394" s="1"/>
      <c r="M394" s="1"/>
      <c r="N394" s="1"/>
      <c r="O394" s="1"/>
    </row>
    <row r="395" spans="11:15" x14ac:dyDescent="0.3">
      <c r="K395" s="1"/>
      <c r="L395" s="1"/>
      <c r="M395" s="1"/>
      <c r="N395" s="1"/>
      <c r="O395" s="1"/>
    </row>
    <row r="396" spans="11:15" x14ac:dyDescent="0.3">
      <c r="K396" s="1"/>
      <c r="L396" s="1"/>
      <c r="M396" s="1"/>
      <c r="N396" s="1"/>
      <c r="O396" s="1"/>
    </row>
    <row r="397" spans="11:15" x14ac:dyDescent="0.3">
      <c r="K397" s="1"/>
      <c r="L397" s="1"/>
      <c r="M397" s="1"/>
      <c r="N397" s="1"/>
      <c r="O397" s="1"/>
    </row>
    <row r="398" spans="11:15" x14ac:dyDescent="0.3">
      <c r="K398" s="1"/>
      <c r="L398" s="1"/>
      <c r="M398" s="1"/>
      <c r="N398" s="1"/>
      <c r="O398" s="1"/>
    </row>
    <row r="399" spans="11:15" x14ac:dyDescent="0.3">
      <c r="K399" s="1"/>
      <c r="L399" s="1"/>
      <c r="M399" s="1"/>
      <c r="N399" s="1"/>
      <c r="O399" s="1"/>
    </row>
    <row r="400" spans="11:15" x14ac:dyDescent="0.3">
      <c r="K400" s="1"/>
      <c r="L400" s="1"/>
      <c r="M400" s="1"/>
      <c r="N400" s="1"/>
      <c r="O400" s="1"/>
    </row>
    <row r="401" spans="11:15" x14ac:dyDescent="0.3">
      <c r="K401" s="1"/>
      <c r="L401" s="1"/>
      <c r="M401" s="1"/>
      <c r="N401" s="1"/>
      <c r="O401" s="1"/>
    </row>
    <row r="402" spans="11:15" x14ac:dyDescent="0.3">
      <c r="K402" s="1"/>
      <c r="L402" s="1"/>
      <c r="M402" s="1"/>
      <c r="N402" s="1"/>
      <c r="O402" s="1"/>
    </row>
    <row r="403" spans="11:15" x14ac:dyDescent="0.3">
      <c r="K403" s="1"/>
      <c r="L403" s="1"/>
      <c r="M403" s="1"/>
      <c r="N403" s="1"/>
      <c r="O403" s="1"/>
    </row>
    <row r="404" spans="11:15" x14ac:dyDescent="0.3">
      <c r="K404" s="1"/>
      <c r="L404" s="1"/>
      <c r="M404" s="1"/>
      <c r="N404" s="1"/>
      <c r="O404" s="1"/>
    </row>
    <row r="405" spans="11:15" x14ac:dyDescent="0.3">
      <c r="K405" s="1"/>
      <c r="L405" s="1"/>
      <c r="M405" s="1"/>
      <c r="N405" s="1"/>
      <c r="O405" s="1"/>
    </row>
    <row r="406" spans="11:15" x14ac:dyDescent="0.3">
      <c r="K406" s="1"/>
      <c r="L406" s="1"/>
      <c r="M406" s="1"/>
      <c r="N406" s="1"/>
      <c r="O406" s="1"/>
    </row>
    <row r="407" spans="11:15" x14ac:dyDescent="0.3">
      <c r="K407" s="1"/>
      <c r="L407" s="1"/>
      <c r="M407" s="1"/>
      <c r="N407" s="1"/>
      <c r="O407" s="1"/>
    </row>
    <row r="408" spans="11:15" x14ac:dyDescent="0.3">
      <c r="K408" s="1"/>
      <c r="L408" s="1"/>
      <c r="M408" s="1"/>
      <c r="N408" s="1"/>
      <c r="O408" s="1"/>
    </row>
    <row r="409" spans="11:15" x14ac:dyDescent="0.3">
      <c r="K409" s="1"/>
      <c r="L409" s="1"/>
      <c r="M409" s="1"/>
      <c r="N409" s="1"/>
      <c r="O409" s="1"/>
    </row>
    <row r="410" spans="11:15" x14ac:dyDescent="0.3">
      <c r="K410" s="1"/>
      <c r="L410" s="1"/>
      <c r="M410" s="1"/>
      <c r="N410" s="1"/>
      <c r="O410" s="1"/>
    </row>
    <row r="411" spans="11:15" x14ac:dyDescent="0.3">
      <c r="K411" s="1"/>
      <c r="L411" s="1"/>
      <c r="M411" s="1"/>
      <c r="N411" s="1"/>
      <c r="O411" s="1"/>
    </row>
    <row r="412" spans="11:15" x14ac:dyDescent="0.3">
      <c r="K412" s="1"/>
      <c r="L412" s="1"/>
      <c r="M412" s="1"/>
      <c r="N412" s="1"/>
      <c r="O412" s="1"/>
    </row>
    <row r="413" spans="11:15" x14ac:dyDescent="0.3">
      <c r="K413" s="1"/>
      <c r="L413" s="1"/>
      <c r="M413" s="1"/>
      <c r="N413" s="1"/>
      <c r="O413" s="1"/>
    </row>
    <row r="414" spans="11:15" x14ac:dyDescent="0.3">
      <c r="K414" s="1"/>
      <c r="L414" s="1"/>
      <c r="M414" s="1"/>
      <c r="N414" s="1"/>
      <c r="O414" s="1"/>
    </row>
    <row r="415" spans="11:15" x14ac:dyDescent="0.3">
      <c r="K415" s="1"/>
      <c r="L415" s="1"/>
      <c r="M415" s="1"/>
      <c r="N415" s="1"/>
      <c r="O415" s="1"/>
    </row>
    <row r="416" spans="11:15" x14ac:dyDescent="0.3">
      <c r="K416" s="1"/>
      <c r="L416" s="1"/>
      <c r="M416" s="1"/>
      <c r="N416" s="1"/>
      <c r="O416" s="1"/>
    </row>
    <row r="417" spans="11:15" x14ac:dyDescent="0.3">
      <c r="K417" s="1"/>
      <c r="L417" s="1"/>
      <c r="M417" s="1"/>
      <c r="N417" s="1"/>
      <c r="O417" s="1"/>
    </row>
    <row r="418" spans="11:15" x14ac:dyDescent="0.3">
      <c r="K418" s="1"/>
      <c r="L418" s="1"/>
      <c r="M418" s="1"/>
      <c r="N418" s="1"/>
      <c r="O418" s="1"/>
    </row>
    <row r="419" spans="11:15" x14ac:dyDescent="0.3">
      <c r="K419" s="1"/>
      <c r="L419" s="1"/>
      <c r="M419" s="1"/>
      <c r="N419" s="1"/>
      <c r="O419" s="1"/>
    </row>
    <row r="420" spans="11:15" x14ac:dyDescent="0.3">
      <c r="K420" s="1"/>
      <c r="L420" s="1"/>
      <c r="M420" s="1"/>
      <c r="N420" s="1"/>
      <c r="O420" s="1"/>
    </row>
    <row r="421" spans="11:15" x14ac:dyDescent="0.3">
      <c r="K421" s="1"/>
      <c r="L421" s="1"/>
      <c r="M421" s="1"/>
      <c r="N421" s="1"/>
      <c r="O421" s="1"/>
    </row>
    <row r="422" spans="11:15" x14ac:dyDescent="0.3">
      <c r="K422" s="1"/>
      <c r="L422" s="1"/>
      <c r="M422" s="1"/>
      <c r="N422" s="1"/>
      <c r="O422" s="1"/>
    </row>
    <row r="423" spans="11:15" x14ac:dyDescent="0.3">
      <c r="K423" s="1"/>
      <c r="L423" s="1"/>
      <c r="M423" s="1"/>
      <c r="N423" s="1"/>
      <c r="O423" s="1"/>
    </row>
    <row r="424" spans="11:15" x14ac:dyDescent="0.3">
      <c r="K424" s="1"/>
      <c r="L424" s="1"/>
      <c r="M424" s="1"/>
      <c r="N424" s="1"/>
      <c r="O424" s="1"/>
    </row>
    <row r="425" spans="11:15" x14ac:dyDescent="0.3">
      <c r="K425" s="1"/>
      <c r="L425" s="1"/>
      <c r="M425" s="1"/>
      <c r="N425" s="1"/>
      <c r="O425" s="1"/>
    </row>
    <row r="426" spans="11:15" x14ac:dyDescent="0.3">
      <c r="K426" s="1"/>
      <c r="L426" s="1"/>
      <c r="M426" s="1"/>
      <c r="N426" s="1"/>
      <c r="O426" s="1"/>
    </row>
    <row r="427" spans="11:15" x14ac:dyDescent="0.3">
      <c r="K427" s="1"/>
      <c r="L427" s="1"/>
      <c r="M427" s="1"/>
      <c r="N427" s="1"/>
      <c r="O427" s="1"/>
    </row>
    <row r="428" spans="11:15" x14ac:dyDescent="0.3">
      <c r="K428" s="1"/>
      <c r="L428" s="1"/>
      <c r="M428" s="1"/>
      <c r="N428" s="1"/>
      <c r="O428" s="1"/>
    </row>
    <row r="429" spans="11:15" x14ac:dyDescent="0.3">
      <c r="K429" s="1"/>
      <c r="L429" s="1"/>
      <c r="M429" s="1"/>
      <c r="N429" s="1"/>
      <c r="O429" s="1"/>
    </row>
    <row r="430" spans="11:15" x14ac:dyDescent="0.3">
      <c r="K430" s="1"/>
      <c r="L430" s="1"/>
      <c r="M430" s="1"/>
      <c r="N430" s="1"/>
      <c r="O430" s="1"/>
    </row>
    <row r="431" spans="11:15" x14ac:dyDescent="0.3">
      <c r="K431" s="1"/>
      <c r="L431" s="1"/>
      <c r="M431" s="1"/>
      <c r="N431" s="1"/>
      <c r="O431" s="1"/>
    </row>
    <row r="432" spans="11:15" x14ac:dyDescent="0.3">
      <c r="K432" s="1"/>
      <c r="L432" s="1"/>
      <c r="M432" s="1"/>
      <c r="N432" s="1"/>
      <c r="O432" s="1"/>
    </row>
    <row r="433" spans="11:15" x14ac:dyDescent="0.3">
      <c r="K433" s="1"/>
      <c r="L433" s="1"/>
      <c r="M433" s="1"/>
      <c r="N433" s="1"/>
      <c r="O433" s="1"/>
    </row>
    <row r="434" spans="11:15" x14ac:dyDescent="0.3">
      <c r="K434" s="1"/>
      <c r="L434" s="1"/>
      <c r="M434" s="1"/>
      <c r="N434" s="1"/>
      <c r="O434" s="1"/>
    </row>
    <row r="435" spans="11:15" x14ac:dyDescent="0.3">
      <c r="K435" s="1"/>
      <c r="L435" s="1"/>
      <c r="M435" s="1"/>
      <c r="N435" s="1"/>
      <c r="O435" s="1"/>
    </row>
    <row r="436" spans="11:15" x14ac:dyDescent="0.3">
      <c r="K436" s="1"/>
      <c r="L436" s="1"/>
      <c r="M436" s="1"/>
      <c r="N436" s="1"/>
      <c r="O436" s="1"/>
    </row>
    <row r="437" spans="11:15" x14ac:dyDescent="0.3">
      <c r="K437" s="1"/>
      <c r="L437" s="1"/>
      <c r="M437" s="1"/>
      <c r="N437" s="1"/>
      <c r="O437" s="1"/>
    </row>
    <row r="438" spans="11:15" x14ac:dyDescent="0.3">
      <c r="K438" s="1"/>
      <c r="L438" s="1"/>
      <c r="M438" s="1"/>
      <c r="N438" s="1"/>
      <c r="O438" s="1"/>
    </row>
    <row r="439" spans="11:15" x14ac:dyDescent="0.3">
      <c r="K439" s="1"/>
      <c r="L439" s="1"/>
      <c r="M439" s="1"/>
      <c r="N439" s="1"/>
      <c r="O439" s="1"/>
    </row>
    <row r="440" spans="11:15" x14ac:dyDescent="0.3">
      <c r="K440" s="1"/>
      <c r="L440" s="1"/>
      <c r="M440" s="1"/>
      <c r="N440" s="1"/>
      <c r="O440" s="1"/>
    </row>
    <row r="441" spans="11:15" x14ac:dyDescent="0.3">
      <c r="K441" s="1"/>
      <c r="L441" s="1"/>
      <c r="M441" s="1"/>
      <c r="N441" s="1"/>
      <c r="O441" s="1"/>
    </row>
    <row r="442" spans="11:15" x14ac:dyDescent="0.3">
      <c r="K442" s="1"/>
      <c r="L442" s="1"/>
      <c r="M442" s="1"/>
      <c r="N442" s="1"/>
      <c r="O442" s="1"/>
    </row>
    <row r="443" spans="11:15" x14ac:dyDescent="0.3">
      <c r="K443" s="1"/>
      <c r="L443" s="1"/>
      <c r="M443" s="1"/>
      <c r="N443" s="1"/>
      <c r="O443" s="1"/>
    </row>
    <row r="444" spans="11:15" x14ac:dyDescent="0.3">
      <c r="K444" s="1"/>
      <c r="L444" s="1"/>
      <c r="M444" s="1"/>
      <c r="N444" s="1"/>
      <c r="O444" s="1"/>
    </row>
    <row r="445" spans="11:15" x14ac:dyDescent="0.3">
      <c r="K445" s="1"/>
      <c r="L445" s="1"/>
      <c r="M445" s="1"/>
      <c r="N445" s="1"/>
      <c r="O445" s="1"/>
    </row>
    <row r="446" spans="11:15" x14ac:dyDescent="0.3">
      <c r="K446" s="1"/>
      <c r="L446" s="1"/>
      <c r="M446" s="1"/>
      <c r="N446" s="1"/>
      <c r="O446" s="1"/>
    </row>
    <row r="447" spans="11:15" x14ac:dyDescent="0.3">
      <c r="K447" s="1"/>
      <c r="L447" s="1"/>
      <c r="M447" s="1"/>
      <c r="N447" s="1"/>
      <c r="O447" s="1"/>
    </row>
    <row r="448" spans="11:15" x14ac:dyDescent="0.3">
      <c r="K448" s="1"/>
      <c r="L448" s="1"/>
      <c r="M448" s="1"/>
      <c r="N448" s="1"/>
      <c r="O448" s="1"/>
    </row>
    <row r="449" spans="11:15" x14ac:dyDescent="0.3">
      <c r="K449" s="1"/>
      <c r="L449" s="1"/>
      <c r="M449" s="1"/>
      <c r="N449" s="1"/>
      <c r="O449" s="1"/>
    </row>
    <row r="450" spans="11:15" x14ac:dyDescent="0.3">
      <c r="K450" s="1"/>
      <c r="L450" s="1"/>
      <c r="M450" s="1"/>
      <c r="N450" s="1"/>
      <c r="O450" s="1"/>
    </row>
    <row r="451" spans="11:15" x14ac:dyDescent="0.3">
      <c r="K451" s="1"/>
      <c r="L451" s="1"/>
      <c r="M451" s="1"/>
      <c r="N451" s="1"/>
      <c r="O451" s="1"/>
    </row>
    <row r="452" spans="11:15" x14ac:dyDescent="0.3">
      <c r="K452" s="1"/>
      <c r="L452" s="1"/>
      <c r="M452" s="1"/>
      <c r="N452" s="1"/>
      <c r="O452" s="1"/>
    </row>
    <row r="453" spans="11:15" x14ac:dyDescent="0.3">
      <c r="K453" s="1"/>
      <c r="L453" s="1"/>
      <c r="M453" s="1"/>
      <c r="N453" s="1"/>
      <c r="O453" s="1"/>
    </row>
    <row r="454" spans="11:15" x14ac:dyDescent="0.3">
      <c r="K454" s="1"/>
      <c r="L454" s="1"/>
      <c r="M454" s="1"/>
      <c r="N454" s="1"/>
      <c r="O454" s="1"/>
    </row>
    <row r="455" spans="11:15" x14ac:dyDescent="0.3">
      <c r="K455" s="1"/>
      <c r="L455" s="1"/>
      <c r="M455" s="1"/>
      <c r="N455" s="1"/>
      <c r="O455" s="1"/>
    </row>
    <row r="456" spans="11:15" x14ac:dyDescent="0.3">
      <c r="K456" s="1"/>
      <c r="L456" s="1"/>
      <c r="M456" s="1"/>
      <c r="N456" s="1"/>
      <c r="O456" s="1"/>
    </row>
    <row r="457" spans="11:15" x14ac:dyDescent="0.3">
      <c r="K457" s="1"/>
      <c r="L457" s="1"/>
      <c r="M457" s="1"/>
      <c r="N457" s="1"/>
      <c r="O457" s="1"/>
    </row>
    <row r="458" spans="11:15" x14ac:dyDescent="0.3">
      <c r="K458" s="1"/>
      <c r="L458" s="1"/>
      <c r="M458" s="1"/>
      <c r="N458" s="1"/>
      <c r="O458" s="1"/>
    </row>
    <row r="459" spans="11:15" x14ac:dyDescent="0.3">
      <c r="K459" s="1"/>
      <c r="L459" s="1"/>
      <c r="M459" s="1"/>
      <c r="N459" s="1"/>
      <c r="O459" s="1"/>
    </row>
    <row r="460" spans="11:15" x14ac:dyDescent="0.3">
      <c r="K460" s="1"/>
      <c r="L460" s="1"/>
      <c r="M460" s="1"/>
      <c r="N460" s="1"/>
      <c r="O460" s="1"/>
    </row>
    <row r="461" spans="11:15" x14ac:dyDescent="0.3">
      <c r="K461" s="1"/>
      <c r="L461" s="1"/>
      <c r="M461" s="1"/>
      <c r="N461" s="1"/>
      <c r="O461" s="1"/>
    </row>
    <row r="462" spans="11:15" x14ac:dyDescent="0.3">
      <c r="K462" s="1"/>
      <c r="L462" s="1"/>
      <c r="M462" s="1"/>
      <c r="N462" s="1"/>
      <c r="O462" s="1"/>
    </row>
    <row r="463" spans="11:15" x14ac:dyDescent="0.3">
      <c r="K463" s="1"/>
      <c r="L463" s="1"/>
      <c r="M463" s="1"/>
      <c r="N463" s="1"/>
      <c r="O463" s="1"/>
    </row>
    <row r="464" spans="11:15" x14ac:dyDescent="0.3">
      <c r="K464" s="1"/>
      <c r="L464" s="1"/>
      <c r="M464" s="1"/>
      <c r="N464" s="1"/>
      <c r="O464" s="1"/>
    </row>
    <row r="465" spans="11:15" x14ac:dyDescent="0.3">
      <c r="K465" s="1"/>
      <c r="L465" s="1"/>
      <c r="M465" s="1"/>
      <c r="N465" s="1"/>
      <c r="O465" s="1"/>
    </row>
    <row r="466" spans="11:15" x14ac:dyDescent="0.3">
      <c r="K466" s="1"/>
      <c r="L466" s="1"/>
      <c r="M466" s="1"/>
      <c r="N466" s="1"/>
      <c r="O466" s="1"/>
    </row>
    <row r="467" spans="11:15" x14ac:dyDescent="0.3">
      <c r="K467" s="1"/>
      <c r="L467" s="1"/>
      <c r="M467" s="1"/>
      <c r="N467" s="1"/>
      <c r="O467" s="1"/>
    </row>
    <row r="468" spans="11:15" x14ac:dyDescent="0.3">
      <c r="K468" s="1"/>
      <c r="L468" s="1"/>
      <c r="M468" s="1"/>
      <c r="N468" s="1"/>
      <c r="O468" s="1"/>
    </row>
    <row r="469" spans="11:15" x14ac:dyDescent="0.3">
      <c r="K469" s="1"/>
      <c r="L469" s="1"/>
      <c r="M469" s="1"/>
      <c r="N469" s="1"/>
      <c r="O469" s="1"/>
    </row>
    <row r="470" spans="11:15" x14ac:dyDescent="0.3">
      <c r="K470" s="1"/>
      <c r="L470" s="1"/>
      <c r="M470" s="1"/>
      <c r="N470" s="1"/>
      <c r="O470" s="1"/>
    </row>
    <row r="471" spans="11:15" x14ac:dyDescent="0.3">
      <c r="K471" s="1"/>
      <c r="L471" s="1"/>
      <c r="M471" s="1"/>
      <c r="N471" s="1"/>
      <c r="O471" s="1"/>
    </row>
    <row r="472" spans="11:15" x14ac:dyDescent="0.3">
      <c r="K472" s="1"/>
      <c r="L472" s="1"/>
      <c r="M472" s="1"/>
      <c r="N472" s="1"/>
      <c r="O472" s="1"/>
    </row>
    <row r="473" spans="11:15" x14ac:dyDescent="0.3">
      <c r="K473" s="1"/>
      <c r="L473" s="1"/>
      <c r="M473" s="1"/>
      <c r="N473" s="1"/>
      <c r="O473" s="1"/>
    </row>
    <row r="474" spans="11:15" x14ac:dyDescent="0.3">
      <c r="K474" s="1"/>
      <c r="L474" s="1"/>
      <c r="M474" s="1"/>
      <c r="N474" s="1"/>
      <c r="O474" s="1"/>
    </row>
    <row r="475" spans="11:15" x14ac:dyDescent="0.3">
      <c r="K475" s="1"/>
      <c r="L475" s="1"/>
      <c r="M475" s="1"/>
      <c r="N475" s="1"/>
      <c r="O475" s="1"/>
    </row>
    <row r="476" spans="11:15" x14ac:dyDescent="0.3">
      <c r="K476" s="1"/>
      <c r="L476" s="1"/>
      <c r="M476" s="1"/>
      <c r="N476" s="1"/>
      <c r="O476" s="1"/>
    </row>
    <row r="477" spans="11:15" x14ac:dyDescent="0.3">
      <c r="K477" s="1"/>
      <c r="L477" s="1"/>
      <c r="M477" s="1"/>
      <c r="N477" s="1"/>
      <c r="O477" s="1"/>
    </row>
    <row r="478" spans="11:15" x14ac:dyDescent="0.3">
      <c r="K478" s="1"/>
      <c r="L478" s="1"/>
      <c r="M478" s="1"/>
      <c r="N478" s="1"/>
      <c r="O478" s="1"/>
    </row>
    <row r="479" spans="11:15" x14ac:dyDescent="0.3">
      <c r="K479" s="1"/>
      <c r="L479" s="1"/>
      <c r="M479" s="1"/>
      <c r="N479" s="1"/>
      <c r="O479" s="1"/>
    </row>
    <row r="480" spans="11:15" x14ac:dyDescent="0.3">
      <c r="K480" s="1"/>
      <c r="L480" s="1"/>
      <c r="M480" s="1"/>
      <c r="N480" s="1"/>
      <c r="O480" s="1"/>
    </row>
    <row r="481" spans="11:15" x14ac:dyDescent="0.3">
      <c r="K481" s="1"/>
      <c r="L481" s="1"/>
      <c r="M481" s="1"/>
      <c r="N481" s="1"/>
      <c r="O481" s="1"/>
    </row>
    <row r="482" spans="11:15" x14ac:dyDescent="0.3">
      <c r="K482" s="1"/>
      <c r="L482" s="1"/>
      <c r="M482" s="1"/>
      <c r="N482" s="1"/>
      <c r="O482" s="1"/>
    </row>
    <row r="483" spans="11:15" x14ac:dyDescent="0.3">
      <c r="K483" s="1"/>
      <c r="L483" s="1"/>
      <c r="M483" s="1"/>
      <c r="N483" s="1"/>
      <c r="O483" s="1"/>
    </row>
    <row r="484" spans="11:15" x14ac:dyDescent="0.3">
      <c r="K484" s="1"/>
      <c r="L484" s="1"/>
      <c r="M484" s="1"/>
      <c r="N484" s="1"/>
      <c r="O484" s="1"/>
    </row>
    <row r="485" spans="11:15" x14ac:dyDescent="0.3">
      <c r="K485" s="1"/>
      <c r="L485" s="1"/>
      <c r="M485" s="1"/>
      <c r="N485" s="1"/>
      <c r="O485" s="1"/>
    </row>
    <row r="486" spans="11:15" x14ac:dyDescent="0.3">
      <c r="K486" s="1"/>
      <c r="L486" s="1"/>
      <c r="M486" s="1"/>
      <c r="N486" s="1"/>
      <c r="O486" s="1"/>
    </row>
    <row r="487" spans="11:15" x14ac:dyDescent="0.3">
      <c r="K487" s="1"/>
      <c r="L487" s="1"/>
      <c r="M487" s="1"/>
      <c r="N487" s="1"/>
      <c r="O487" s="1"/>
    </row>
    <row r="488" spans="11:15" x14ac:dyDescent="0.3">
      <c r="K488" s="1"/>
      <c r="L488" s="1"/>
      <c r="M488" s="1"/>
      <c r="N488" s="1"/>
      <c r="O488" s="1"/>
    </row>
    <row r="489" spans="11:15" x14ac:dyDescent="0.3">
      <c r="K489" s="1"/>
      <c r="L489" s="1"/>
      <c r="M489" s="1"/>
      <c r="N489" s="1"/>
      <c r="O489" s="1"/>
    </row>
    <row r="490" spans="11:15" x14ac:dyDescent="0.3">
      <c r="K490" s="1"/>
      <c r="L490" s="1"/>
      <c r="M490" s="1"/>
      <c r="N490" s="1"/>
      <c r="O490" s="1"/>
    </row>
    <row r="491" spans="11:15" x14ac:dyDescent="0.3">
      <c r="K491" s="1"/>
      <c r="L491" s="1"/>
      <c r="M491" s="1"/>
      <c r="N491" s="1"/>
      <c r="O491" s="1"/>
    </row>
    <row r="492" spans="11:15" x14ac:dyDescent="0.3">
      <c r="K492" s="1"/>
      <c r="L492" s="1"/>
      <c r="M492" s="1"/>
      <c r="N492" s="1"/>
      <c r="O492" s="1"/>
    </row>
  </sheetData>
  <conditionalFormatting sqref="O2:O4 N46:N1048576">
    <cfRule type="cellIs" dxfId="3" priority="1" operator="equal">
      <formula>"Out of Bounds"</formula>
    </cfRule>
    <cfRule type="cellIs" dxfId="2" priority="2" operator="equal">
      <formula>"Within Bounds"</formula>
    </cfRule>
    <cfRule type="cellIs" dxfId="1" priority="3" operator="equal">
      <formula>"Within Bounds"</formula>
    </cfRule>
    <cfRule type="cellIs" dxfId="0" priority="4" operator="equal">
      <formula>"""Within Bounds"""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283C5-E31D-4DDF-B021-04EC1A0C7003}">
  <dimension ref="B1:V36"/>
  <sheetViews>
    <sheetView workbookViewId="0">
      <selection activeCell="C12" sqref="C12"/>
    </sheetView>
  </sheetViews>
  <sheetFormatPr defaultRowHeight="14.4" x14ac:dyDescent="0.3"/>
  <cols>
    <col min="1" max="1" width="3" customWidth="1"/>
    <col min="2" max="2" width="20" customWidth="1"/>
  </cols>
  <sheetData>
    <row r="1" spans="2:22" ht="7.8" customHeight="1" x14ac:dyDescent="0.3"/>
    <row r="2" spans="2:22" ht="5.4" customHeight="1" x14ac:dyDescent="0.3"/>
    <row r="3" spans="2:22" x14ac:dyDescent="0.3">
      <c r="I3" s="78" t="s">
        <v>62</v>
      </c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</row>
    <row r="4" spans="2:22" x14ac:dyDescent="0.3">
      <c r="B4" s="8"/>
      <c r="C4" s="8"/>
      <c r="D4" s="8"/>
      <c r="E4" s="8"/>
      <c r="F4" s="8"/>
      <c r="G4" s="8"/>
      <c r="I4" s="8"/>
      <c r="J4" s="9" t="s">
        <v>14</v>
      </c>
      <c r="K4" s="8"/>
      <c r="L4" s="8"/>
      <c r="M4" s="8"/>
      <c r="N4" s="8"/>
      <c r="O4" s="8"/>
      <c r="P4" s="8"/>
      <c r="Q4" s="8"/>
      <c r="R4" s="9"/>
      <c r="S4" s="8"/>
      <c r="T4" s="8"/>
      <c r="U4" s="8"/>
      <c r="V4" s="8"/>
    </row>
    <row r="5" spans="2:22" ht="42" customHeight="1" x14ac:dyDescent="0.3">
      <c r="B5" s="71" t="s">
        <v>61</v>
      </c>
      <c r="C5" s="8"/>
      <c r="D5" s="8"/>
      <c r="E5" s="8"/>
      <c r="F5" s="8"/>
      <c r="G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2:22" x14ac:dyDescent="0.3">
      <c r="B6" s="8"/>
      <c r="C6" s="8"/>
      <c r="D6" s="8"/>
      <c r="E6" s="8"/>
      <c r="F6" s="8"/>
      <c r="G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2:22" x14ac:dyDescent="0.3">
      <c r="B7" s="8"/>
      <c r="C7" s="8"/>
      <c r="D7" s="8"/>
      <c r="E7" s="8"/>
      <c r="F7" s="8"/>
      <c r="G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2:22" x14ac:dyDescent="0.3">
      <c r="B8" s="8"/>
      <c r="C8" s="8"/>
      <c r="D8" s="8"/>
      <c r="E8" s="8"/>
      <c r="F8" s="8"/>
      <c r="G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2:22" x14ac:dyDescent="0.3">
      <c r="B9" s="8"/>
      <c r="C9" s="8"/>
      <c r="D9" s="8"/>
      <c r="E9" s="8"/>
      <c r="F9" s="8"/>
      <c r="G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spans="2:22" x14ac:dyDescent="0.3">
      <c r="B10" s="8"/>
      <c r="C10" s="8"/>
      <c r="D10" s="8"/>
      <c r="E10" s="8"/>
      <c r="F10" s="8"/>
      <c r="G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spans="2:22" x14ac:dyDescent="0.3">
      <c r="B11" s="8"/>
      <c r="C11" s="8"/>
      <c r="D11" s="8"/>
      <c r="E11" s="8"/>
      <c r="F11" s="8"/>
      <c r="G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 spans="2:22" x14ac:dyDescent="0.3">
      <c r="B12" s="8"/>
      <c r="C12" s="8"/>
      <c r="D12" s="8"/>
      <c r="E12" s="8"/>
      <c r="F12" s="8"/>
      <c r="G12" s="8"/>
      <c r="I12" s="8"/>
      <c r="J12" s="9" t="s">
        <v>15</v>
      </c>
      <c r="K12" s="8"/>
      <c r="L12" s="8"/>
      <c r="M12" s="8"/>
      <c r="N12" s="8"/>
      <c r="O12" s="8"/>
      <c r="P12" s="9" t="s">
        <v>18</v>
      </c>
      <c r="Q12" s="8"/>
      <c r="R12" s="8"/>
      <c r="S12" s="8"/>
      <c r="T12" s="8"/>
      <c r="U12" s="8"/>
      <c r="V12" s="8"/>
    </row>
    <row r="13" spans="2:22" x14ac:dyDescent="0.3">
      <c r="B13" s="8"/>
      <c r="C13" s="8"/>
      <c r="D13" s="8"/>
      <c r="E13" s="8"/>
      <c r="F13" s="8"/>
      <c r="G13" s="8"/>
      <c r="I13" s="8"/>
      <c r="J13" s="8"/>
      <c r="K13" s="8"/>
      <c r="L13" s="8"/>
      <c r="M13" s="8"/>
      <c r="N13" s="8"/>
      <c r="O13" s="8"/>
      <c r="P13" s="9"/>
      <c r="Q13" s="8"/>
      <c r="R13" s="8"/>
      <c r="S13" s="8"/>
      <c r="T13" s="8"/>
      <c r="U13" s="8"/>
      <c r="V13" s="8"/>
    </row>
    <row r="14" spans="2:22" x14ac:dyDescent="0.3"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2:22" x14ac:dyDescent="0.3"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2:22" x14ac:dyDescent="0.3"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9:22" x14ac:dyDescent="0.3">
      <c r="I17" s="8"/>
      <c r="J17" s="9" t="s">
        <v>16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spans="9:22" x14ac:dyDescent="0.3">
      <c r="I18" s="8"/>
      <c r="J18" s="8"/>
      <c r="K18" s="8"/>
      <c r="L18" s="8"/>
      <c r="M18" s="8"/>
      <c r="N18" s="8"/>
      <c r="O18" s="8"/>
      <c r="P18" s="9" t="s">
        <v>19</v>
      </c>
      <c r="Q18" s="8"/>
      <c r="R18" s="8"/>
      <c r="S18" s="9" t="s">
        <v>20</v>
      </c>
      <c r="T18" s="8"/>
      <c r="U18" s="8"/>
      <c r="V18" s="8"/>
    </row>
    <row r="19" spans="9:22" x14ac:dyDescent="0.3"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spans="9:22" x14ac:dyDescent="0.3"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spans="9:22" x14ac:dyDescent="0.3"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spans="9:22" x14ac:dyDescent="0.3">
      <c r="I22" s="8"/>
      <c r="J22" s="9" t="s">
        <v>17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spans="9:22" x14ac:dyDescent="0.3"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spans="9:22" x14ac:dyDescent="0.3">
      <c r="I24" s="8"/>
      <c r="J24" s="8"/>
      <c r="K24" s="8"/>
      <c r="L24" s="8"/>
      <c r="M24" s="8"/>
      <c r="N24" s="8"/>
      <c r="O24" s="8"/>
      <c r="P24" s="9" t="s">
        <v>21</v>
      </c>
      <c r="Q24" s="8"/>
      <c r="R24" s="8"/>
      <c r="S24" s="8"/>
      <c r="T24" s="8"/>
      <c r="U24" s="8"/>
      <c r="V24" s="8"/>
    </row>
    <row r="25" spans="9:22" x14ac:dyDescent="0.3"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spans="9:22" x14ac:dyDescent="0.3"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spans="9:22" x14ac:dyDescent="0.3"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spans="9:22" x14ac:dyDescent="0.3">
      <c r="I28" s="8"/>
      <c r="J28" s="9" t="s">
        <v>23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spans="9:22" x14ac:dyDescent="0.3"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spans="9:22" x14ac:dyDescent="0.3">
      <c r="I30" s="8"/>
      <c r="J30" s="8"/>
      <c r="K30" s="8"/>
      <c r="L30" s="8"/>
      <c r="M30" s="8"/>
      <c r="N30" s="8"/>
      <c r="O30" s="8"/>
      <c r="P30" s="9" t="s">
        <v>22</v>
      </c>
      <c r="Q30" s="8"/>
      <c r="R30" s="8"/>
      <c r="S30" s="8"/>
      <c r="T30" s="8"/>
      <c r="U30" s="8"/>
      <c r="V30" s="8"/>
    </row>
    <row r="31" spans="9:22" x14ac:dyDescent="0.3">
      <c r="I31" s="8"/>
      <c r="J31" s="8"/>
      <c r="K31" s="8"/>
      <c r="L31" s="8"/>
      <c r="M31" s="8"/>
      <c r="N31" s="8"/>
      <c r="O31" s="8"/>
      <c r="P31" s="9"/>
      <c r="Q31" s="8"/>
      <c r="R31" s="8"/>
      <c r="S31" s="8"/>
      <c r="T31" s="8"/>
      <c r="U31" s="8"/>
      <c r="V31" s="8"/>
    </row>
    <row r="32" spans="9:22" x14ac:dyDescent="0.3"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</row>
    <row r="33" spans="9:22" x14ac:dyDescent="0.3"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spans="9:22" x14ac:dyDescent="0.3"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</row>
    <row r="35" spans="9:22" x14ac:dyDescent="0.3"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</row>
    <row r="36" spans="9:22" x14ac:dyDescent="0.3"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</row>
  </sheetData>
  <mergeCells count="1">
    <mergeCell ref="I3:V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1B8F4-4A1E-4F36-8499-4D852A4D87EF}">
  <dimension ref="B1:W52"/>
  <sheetViews>
    <sheetView zoomScale="79" zoomScaleNormal="79" workbookViewId="0">
      <selection activeCell="E22" sqref="E22"/>
    </sheetView>
  </sheetViews>
  <sheetFormatPr defaultRowHeight="14.4" x14ac:dyDescent="0.3"/>
  <cols>
    <col min="1" max="1" width="3.77734375" customWidth="1"/>
    <col min="2" max="2" width="21.6640625" customWidth="1"/>
    <col min="3" max="3" width="25.6640625" customWidth="1"/>
    <col min="4" max="4" width="16" customWidth="1"/>
    <col min="5" max="5" width="17.109375" customWidth="1"/>
    <col min="6" max="6" width="14.109375" customWidth="1"/>
    <col min="7" max="7" width="17.109375" customWidth="1"/>
    <col min="9" max="9" width="12.109375" customWidth="1"/>
    <col min="11" max="11" width="26" customWidth="1"/>
    <col min="12" max="12" width="15.77734375" customWidth="1"/>
    <col min="13" max="13" width="11" customWidth="1"/>
    <col min="14" max="14" width="9.6640625" customWidth="1"/>
    <col min="15" max="15" width="12.5546875" customWidth="1"/>
    <col min="16" max="16" width="23.33203125" customWidth="1"/>
    <col min="17" max="17" width="15.6640625" customWidth="1"/>
    <col min="18" max="18" width="12.33203125" customWidth="1"/>
  </cols>
  <sheetData>
    <row r="1" spans="2:11" ht="15" thickBot="1" x14ac:dyDescent="0.35"/>
    <row r="2" spans="2:11" ht="15" thickBot="1" x14ac:dyDescent="0.35">
      <c r="B2" s="60" t="s">
        <v>8</v>
      </c>
      <c r="C2" s="32" t="s">
        <v>7</v>
      </c>
      <c r="D2" s="6" t="s">
        <v>13</v>
      </c>
      <c r="E2" s="79" t="s">
        <v>70</v>
      </c>
      <c r="F2" s="79"/>
      <c r="G2" s="80"/>
      <c r="H2" s="6" t="s">
        <v>2</v>
      </c>
      <c r="K2" s="37" t="s">
        <v>4</v>
      </c>
    </row>
    <row r="3" spans="2:11" x14ac:dyDescent="0.3">
      <c r="B3" s="46">
        <f>'Input &amp; Result'!D5</f>
        <v>2.1</v>
      </c>
      <c r="C3" s="61" t="str">
        <f>'Input &amp; Result'!B5</f>
        <v>altitude (meters)</v>
      </c>
      <c r="D3" s="62">
        <f>'Input &amp; Result'!C5</f>
        <v>1941.8</v>
      </c>
      <c r="E3" s="15"/>
      <c r="F3" s="16"/>
      <c r="G3" s="17">
        <f>15-(0.0065*(D3))</f>
        <v>2.3783000000000012</v>
      </c>
      <c r="H3" s="63">
        <f>G3</f>
        <v>2.3783000000000012</v>
      </c>
      <c r="I3" t="s">
        <v>44</v>
      </c>
      <c r="K3" s="58" t="b">
        <f>AND('Input &amp; Result'!J3&gt;'Input &amp; Result'!L3,'Input &amp; Result'!J3&lt;'Input &amp; Result'!M3)</f>
        <v>1</v>
      </c>
    </row>
    <row r="4" spans="2:11" ht="15" thickBot="1" x14ac:dyDescent="0.35">
      <c r="B4" s="51">
        <f>'Input &amp; Result'!D16</f>
        <v>2</v>
      </c>
      <c r="C4" s="3" t="str">
        <f>'Input &amp; Result'!B6</f>
        <v>launch altitude (meters)</v>
      </c>
      <c r="D4" s="5">
        <f>'Input &amp; Result'!C6</f>
        <v>875</v>
      </c>
      <c r="E4" s="18"/>
      <c r="F4" s="14"/>
      <c r="G4" s="19">
        <f>20.05*(SQRT(273.16+H3))</f>
        <v>332.8168947721104</v>
      </c>
      <c r="H4" s="64">
        <f t="shared" ref="H4:H12" si="0">G4</f>
        <v>332.8168947721104</v>
      </c>
      <c r="I4" t="s">
        <v>43</v>
      </c>
      <c r="K4" s="59" t="b">
        <f>AND('Input &amp; Result'!J4&gt;'Input &amp; Result'!L4,'Input &amp; Result'!J4&lt;'Input &amp; Result'!M4)</f>
        <v>0</v>
      </c>
    </row>
    <row r="5" spans="2:11" x14ac:dyDescent="0.3">
      <c r="B5" s="51">
        <f>'Input &amp; Result'!D7</f>
        <v>2.2999999999999998</v>
      </c>
      <c r="C5" s="3" t="str">
        <f>'Input &amp; Result'!B7</f>
        <v>launch temperature (celsius)*</v>
      </c>
      <c r="D5" s="5">
        <f>'Input &amp; Result'!C7</f>
        <v>0</v>
      </c>
      <c r="E5" s="18"/>
      <c r="F5" s="14">
        <f>15-(0.0065*(D4))</f>
        <v>9.3125</v>
      </c>
      <c r="G5" s="19">
        <f>101.325*((((H3)+273.16)/288.16)^5.256)</f>
        <v>80.07157432575579</v>
      </c>
      <c r="H5" s="64">
        <f t="shared" si="0"/>
        <v>80.07157432575579</v>
      </c>
      <c r="I5" t="s">
        <v>45</v>
      </c>
    </row>
    <row r="6" spans="2:11" x14ac:dyDescent="0.3">
      <c r="B6" s="51">
        <f>'Input &amp; Result'!D8</f>
        <v>2.5</v>
      </c>
      <c r="C6" s="3" t="str">
        <f>'Input &amp; Result'!B8</f>
        <v>m (sweep length)</v>
      </c>
      <c r="D6" s="5">
        <f>'Input &amp; Result'!C8</f>
        <v>15</v>
      </c>
      <c r="E6" s="18"/>
      <c r="F6" s="14" cm="1">
        <f t="array" ref="F6">_xlfn.IFS(D5=0,F5,D5&gt;-1000,D5)</f>
        <v>9.3125</v>
      </c>
      <c r="G6" s="19">
        <f>101.325*((((F6+273.16)/288.16)^5.256))</f>
        <v>91.245756811986013</v>
      </c>
      <c r="H6" s="64">
        <f>G6</f>
        <v>91.245756811986013</v>
      </c>
      <c r="I6" t="s">
        <v>55</v>
      </c>
    </row>
    <row r="7" spans="2:11" x14ac:dyDescent="0.3">
      <c r="B7" s="51" t="str">
        <f>'Input &amp; Result'!D9</f>
        <v>2.5, 2.6, 2.8, 2</v>
      </c>
      <c r="C7" s="3" t="str">
        <f>'Input &amp; Result'!B9</f>
        <v>RC (Root chord length)</v>
      </c>
      <c r="D7" s="5">
        <f>'Input &amp; Result'!C9</f>
        <v>46.037500000000001</v>
      </c>
      <c r="E7" s="18">
        <f>(2*H3*D6)+(H3^2)+(D6*D7)+(H3*D7)+(D7^2)</f>
        <v>2996.5102033900002</v>
      </c>
      <c r="F7" s="14">
        <f>3*(H3+D7)</f>
        <v>145.24740000000003</v>
      </c>
      <c r="G7" s="19">
        <f>E7/F7</f>
        <v>20.630387899473586</v>
      </c>
      <c r="H7" s="64">
        <f>G7</f>
        <v>20.630387899473586</v>
      </c>
      <c r="I7" t="s">
        <v>48</v>
      </c>
    </row>
    <row r="8" spans="2:11" x14ac:dyDescent="0.3">
      <c r="B8" s="51">
        <f>'Input &amp; Result'!D10</f>
        <v>2.7</v>
      </c>
      <c r="C8" s="3" t="str">
        <f>'Input &amp; Result'!B10</f>
        <v>k  (ratio of specific heats)</v>
      </c>
      <c r="D8" s="5">
        <f>'Input &amp; Result'!C10</f>
        <v>1.4</v>
      </c>
      <c r="E8" s="18"/>
      <c r="F8" s="14"/>
      <c r="G8" s="19">
        <f>(H7/D7)-0.25</f>
        <v>0.19812137712676808</v>
      </c>
      <c r="H8" s="64">
        <f>G8</f>
        <v>0.19812137712676808</v>
      </c>
      <c r="I8" t="s">
        <v>39</v>
      </c>
    </row>
    <row r="9" spans="2:11" x14ac:dyDescent="0.3">
      <c r="B9" s="51">
        <f>'Input &amp; Result'!D11</f>
        <v>2.7</v>
      </c>
      <c r="C9" s="3" t="str">
        <f>'Input &amp; Result'!B11</f>
        <v>Po (launch air pressure)*</v>
      </c>
      <c r="D9" s="5">
        <f>IF(D4=0,'Input &amp; Result'!C11,H6)</f>
        <v>91.245756811986013</v>
      </c>
      <c r="E9" s="18"/>
      <c r="F9" s="14"/>
      <c r="G9" s="19">
        <f>(24*H8*D8*D9)/(PI())</f>
        <v>193.34521144570084</v>
      </c>
      <c r="H9" s="64">
        <f t="shared" si="0"/>
        <v>193.34521144570084</v>
      </c>
      <c r="I9" t="s">
        <v>49</v>
      </c>
    </row>
    <row r="10" spans="2:11" x14ac:dyDescent="0.3">
      <c r="B10" s="51">
        <f>'Input &amp; Result'!D12</f>
        <v>2.8</v>
      </c>
      <c r="C10" s="3" t="str">
        <f>'Input &amp; Result'!B12</f>
        <v>Height</v>
      </c>
      <c r="D10" s="5">
        <f>'Input &amp; Result'!C12</f>
        <v>18.100000000000001</v>
      </c>
      <c r="E10" s="18"/>
      <c r="F10" s="14"/>
      <c r="G10" s="19">
        <f>D10*((D11+D7)/2)</f>
        <v>733.38937499999997</v>
      </c>
      <c r="H10" s="64">
        <f t="shared" si="0"/>
        <v>733.38937499999997</v>
      </c>
      <c r="I10" t="s">
        <v>50</v>
      </c>
    </row>
    <row r="11" spans="2:11" x14ac:dyDescent="0.3">
      <c r="B11" s="51" t="str">
        <f>'Input &amp; Result'!D13</f>
        <v>2.8 (trapezoidal only)</v>
      </c>
      <c r="C11" s="3" t="str">
        <f>'Input &amp; Result'!B13</f>
        <v xml:space="preserve">Tip chord length </v>
      </c>
      <c r="D11" s="5">
        <f>'Input &amp; Result'!C13</f>
        <v>35</v>
      </c>
      <c r="E11" s="20" t="s">
        <v>33</v>
      </c>
      <c r="F11" s="14" t="b">
        <f>'Input &amp; Result'!F13</f>
        <v>0</v>
      </c>
      <c r="G11" s="19">
        <f>(D10*(PI())*(D7/2))/2</f>
        <v>654.45559984812155</v>
      </c>
      <c r="H11" s="64">
        <f t="shared" si="0"/>
        <v>654.45559984812155</v>
      </c>
      <c r="I11" t="s">
        <v>51</v>
      </c>
    </row>
    <row r="12" spans="2:11" x14ac:dyDescent="0.3">
      <c r="B12" s="51">
        <f>'Input &amp; Result'!D14</f>
        <v>2</v>
      </c>
      <c r="C12" s="3" t="str">
        <f>'Input &amp; Result'!B14</f>
        <v xml:space="preserve"> A (aspect ratio)*</v>
      </c>
      <c r="D12" s="5">
        <f>IF('Input &amp; Result'!C14&gt;0,'Input &amp; Result'!C14,((D10^2)/F17))</f>
        <v>0.62007126059327067</v>
      </c>
      <c r="E12" s="18">
        <f>IF(F11=FALSE,H10,H11)</f>
        <v>733.38937499999997</v>
      </c>
      <c r="F12" s="14"/>
      <c r="G12" s="19">
        <f>((E12/D10)*2)-D7</f>
        <v>34.999999999999993</v>
      </c>
      <c r="H12" s="64">
        <f t="shared" si="0"/>
        <v>34.999999999999993</v>
      </c>
      <c r="I12" t="s">
        <v>52</v>
      </c>
    </row>
    <row r="13" spans="2:11" x14ac:dyDescent="0.3">
      <c r="B13" s="51">
        <f>'Input &amp; Result'!D15</f>
        <v>2</v>
      </c>
      <c r="C13" s="3" t="str">
        <f>'Input &amp; Result'!B15</f>
        <v>t (fin thickness)</v>
      </c>
      <c r="D13" s="5">
        <f>'Input &amp; Result'!C15</f>
        <v>0.47599999999999998</v>
      </c>
      <c r="E13" s="18">
        <f>(H9*(D12^3))/(((D13/D7)^3)*(D12+2))</f>
        <v>15916935.746820422</v>
      </c>
      <c r="F13" s="14">
        <f>((D11/D7)+1)/2</f>
        <v>0.88012489818083084</v>
      </c>
      <c r="G13" s="19">
        <f>H4*(SQRT(G14))</f>
        <v>300.13324727585058</v>
      </c>
      <c r="H13" s="64">
        <f>G13</f>
        <v>300.13324727585058</v>
      </c>
      <c r="I13" t="s">
        <v>34</v>
      </c>
    </row>
    <row r="14" spans="2:11" ht="15" thickBot="1" x14ac:dyDescent="0.35">
      <c r="B14" s="52">
        <f>'Input &amp; Result'!D16</f>
        <v>2</v>
      </c>
      <c r="C14" s="65" t="str">
        <f>'Input &amp; Result'!B16</f>
        <v>GE (shear modulus)</v>
      </c>
      <c r="D14" s="66">
        <f>'Input &amp; Result'!C16</f>
        <v>9997397.1666659769</v>
      </c>
      <c r="E14" s="67"/>
      <c r="F14" s="68"/>
      <c r="G14" s="69">
        <f>ABS(D14/(E13*F13*(H5/D9)))</f>
        <v>0.81323766674771814</v>
      </c>
      <c r="H14" s="70"/>
    </row>
    <row r="15" spans="2:11" ht="15" thickBot="1" x14ac:dyDescent="0.35"/>
    <row r="16" spans="2:11" ht="15" thickBot="1" x14ac:dyDescent="0.35">
      <c r="F16" s="31" t="s">
        <v>56</v>
      </c>
      <c r="G16" s="24">
        <f>IF('Input &amp; Result'!F13=FALSE,H10,H11)</f>
        <v>733.38937499999997</v>
      </c>
      <c r="H16" t="s">
        <v>72</v>
      </c>
    </row>
    <row r="17" spans="3:7" ht="15" thickBot="1" x14ac:dyDescent="0.35">
      <c r="E17" s="74" t="s">
        <v>71</v>
      </c>
      <c r="F17" s="25">
        <f>IF(G17&gt;0,G17,G16)</f>
        <v>528.34249999999997</v>
      </c>
      <c r="G17" s="21">
        <v>528.34249999999997</v>
      </c>
    </row>
    <row r="18" spans="3:7" ht="15" thickBot="1" x14ac:dyDescent="0.35">
      <c r="G18" s="13" t="s">
        <v>68</v>
      </c>
    </row>
    <row r="19" spans="3:7" ht="15" thickBot="1" x14ac:dyDescent="0.35">
      <c r="D19" s="81" t="s">
        <v>67</v>
      </c>
      <c r="E19" s="82"/>
    </row>
    <row r="20" spans="3:7" x14ac:dyDescent="0.3">
      <c r="C20" s="22" t="s">
        <v>58</v>
      </c>
      <c r="D20" s="76">
        <v>1</v>
      </c>
      <c r="E20" s="24">
        <f>E21/2.54</f>
        <v>0.39370078740157477</v>
      </c>
    </row>
    <row r="21" spans="3:7" ht="15" thickBot="1" x14ac:dyDescent="0.35">
      <c r="C21" s="23" t="s">
        <v>59</v>
      </c>
      <c r="D21" s="77">
        <f>D20*2.54</f>
        <v>2.54</v>
      </c>
      <c r="E21" s="75">
        <v>1</v>
      </c>
    </row>
    <row r="35" spans="2:23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W35" s="1"/>
    </row>
    <row r="36" spans="2:23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2:23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2:23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2:23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2:23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2:23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2:23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2:23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2:23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2:23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2:23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2:23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2:23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2:20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2:20" x14ac:dyDescent="0.3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2:20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2:20" x14ac:dyDescent="0.3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</sheetData>
  <mergeCells count="2">
    <mergeCell ref="E2:G2"/>
    <mergeCell ref="D19:E19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f9f489-e0a0-4eeb-87cc-3a526112fd0d}" enabled="0" method="" siteId="{9ef9f489-e0a0-4eeb-87cc-3a526112fd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 &amp; Result</vt:lpstr>
      <vt:lpstr>Reference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brady</dc:creator>
  <cp:lastModifiedBy>Brady, Julian</cp:lastModifiedBy>
  <dcterms:created xsi:type="dcterms:W3CDTF">2015-06-05T18:17:20Z</dcterms:created>
  <dcterms:modified xsi:type="dcterms:W3CDTF">2026-01-09T19:03:02Z</dcterms:modified>
</cp:coreProperties>
</file>